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mensah\Documents\"/>
    </mc:Choice>
  </mc:AlternateContent>
  <xr:revisionPtr revIDLastSave="0" documentId="8_{5934525D-00A8-8448-9D0B-9E5720CB8104}" xr6:coauthVersionLast="47" xr6:coauthVersionMax="47" xr10:uidLastSave="{00000000-0000-0000-0000-000000000000}"/>
  <bookViews>
    <workbookView xWindow="-120" yWindow="-120" windowWidth="29040" windowHeight="15720" xr2:uid="{62420812-2A37-47D5-8BBE-07FD2B87AB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3" i="1"/>
  <c r="T23" i="1"/>
  <c r="K24" i="1"/>
  <c r="L24" i="1"/>
  <c r="T24" i="1"/>
  <c r="A13" i="1"/>
  <c r="A14" i="1"/>
  <c r="A15" i="1"/>
  <c r="A16" i="1"/>
  <c r="A17" i="1"/>
  <c r="A18" i="1"/>
  <c r="Q23" i="1"/>
  <c r="P19" i="1"/>
  <c r="P20" i="1"/>
  <c r="P21" i="1"/>
  <c r="P22" i="1"/>
  <c r="P23" i="1"/>
  <c r="P24" i="1"/>
  <c r="P25" i="1"/>
  <c r="P26" i="1"/>
  <c r="R23" i="1"/>
  <c r="Q24" i="1"/>
  <c r="L19" i="1"/>
  <c r="Q19" i="1"/>
  <c r="K19" i="1"/>
  <c r="T19" i="1"/>
  <c r="N21" i="1"/>
  <c r="M21" i="1"/>
  <c r="L21" i="1"/>
  <c r="Q21" i="1"/>
  <c r="K21" i="1"/>
  <c r="N22" i="1"/>
  <c r="M22" i="1"/>
  <c r="L22" i="1"/>
  <c r="K22" i="1"/>
  <c r="N20" i="1"/>
  <c r="M20" i="1"/>
  <c r="L20" i="1"/>
  <c r="Q20" i="1"/>
  <c r="K20" i="1"/>
  <c r="P14" i="1"/>
  <c r="N14" i="1"/>
  <c r="M14" i="1"/>
  <c r="L14" i="1"/>
  <c r="K14" i="1"/>
  <c r="P16" i="1"/>
  <c r="N16" i="1"/>
  <c r="M16" i="1"/>
  <c r="L16" i="1"/>
  <c r="K16" i="1"/>
  <c r="P15" i="1"/>
  <c r="N15" i="1"/>
  <c r="M15" i="1"/>
  <c r="L15" i="1"/>
  <c r="K15" i="1"/>
  <c r="A19" i="1"/>
  <c r="A20" i="1"/>
  <c r="A21" i="1"/>
  <c r="A22" i="1"/>
  <c r="A23" i="1"/>
  <c r="A24" i="1"/>
  <c r="A25" i="1"/>
  <c r="A26" i="1"/>
  <c r="O27" i="1"/>
  <c r="S27" i="1"/>
  <c r="G27" i="1"/>
  <c r="E27" i="1"/>
  <c r="L26" i="1"/>
  <c r="Q26" i="1"/>
  <c r="K26" i="1"/>
  <c r="L25" i="1"/>
  <c r="Q25" i="1"/>
  <c r="K25" i="1"/>
  <c r="R25" i="1"/>
  <c r="I27" i="1"/>
  <c r="P18" i="1"/>
  <c r="N18" i="1"/>
  <c r="M18" i="1"/>
  <c r="L18" i="1"/>
  <c r="K18" i="1"/>
  <c r="P17" i="1"/>
  <c r="N17" i="1"/>
  <c r="M17" i="1"/>
  <c r="L17" i="1"/>
  <c r="K17" i="1"/>
  <c r="P13" i="1"/>
  <c r="N13" i="1"/>
  <c r="M13" i="1"/>
  <c r="L13" i="1"/>
  <c r="K13" i="1"/>
  <c r="P12" i="1"/>
  <c r="N12" i="1"/>
  <c r="M12" i="1"/>
  <c r="L12" i="1"/>
  <c r="K12" i="1"/>
  <c r="Q22" i="1"/>
  <c r="R22" i="1"/>
  <c r="R24" i="1"/>
  <c r="R19" i="1"/>
  <c r="T21" i="1"/>
  <c r="R21" i="1"/>
  <c r="T22" i="1"/>
  <c r="T20" i="1"/>
  <c r="R20" i="1"/>
  <c r="Q14" i="1"/>
  <c r="R14" i="1"/>
  <c r="T14" i="1"/>
  <c r="T16" i="1"/>
  <c r="Q16" i="1"/>
  <c r="R16" i="1"/>
  <c r="T15" i="1"/>
  <c r="Q15" i="1"/>
  <c r="R15" i="1"/>
  <c r="T25" i="1"/>
  <c r="T18" i="1"/>
  <c r="L27" i="1"/>
  <c r="Q18" i="1"/>
  <c r="R18" i="1"/>
  <c r="Q17" i="1"/>
  <c r="R17" i="1"/>
  <c r="T26" i="1"/>
  <c r="Q13" i="1"/>
  <c r="R13" i="1"/>
  <c r="T12" i="1"/>
  <c r="J27" i="1"/>
  <c r="M27" i="1"/>
  <c r="H27" i="1"/>
  <c r="T13" i="1"/>
  <c r="T17" i="1"/>
  <c r="P27" i="1"/>
  <c r="N27" i="1"/>
  <c r="R26" i="1"/>
  <c r="Q12" i="1"/>
  <c r="R12" i="1"/>
  <c r="T27" i="1"/>
  <c r="K27" i="1"/>
  <c r="R27" i="1"/>
  <c r="Q27" i="1"/>
</calcChain>
</file>

<file path=xl/sharedStrings.xml><?xml version="1.0" encoding="utf-8"?>
<sst xmlns="http://schemas.openxmlformats.org/spreadsheetml/2006/main" count="100" uniqueCount="74">
  <si>
    <t>STAFF  PAYROLL</t>
  </si>
  <si>
    <t>RAPHAL  MEDICAL  CENTRE</t>
  </si>
  <si>
    <t>PERIOD :JANUARY 2026</t>
  </si>
  <si>
    <t xml:space="preserve">        Taxable Allowances</t>
  </si>
  <si>
    <t xml:space="preserve">                    Pension</t>
  </si>
  <si>
    <t>Serial #</t>
  </si>
  <si>
    <t>Emp. Code</t>
  </si>
  <si>
    <t>Employee Name</t>
  </si>
  <si>
    <t xml:space="preserve"> Basic Salary</t>
  </si>
  <si>
    <t>Other Allowance/Overtime</t>
  </si>
  <si>
    <t>Medical Allowance</t>
  </si>
  <si>
    <t>Risk/Emergency Allowance</t>
  </si>
  <si>
    <t>Total Gross Salary</t>
  </si>
  <si>
    <t xml:space="preserve"> 5.5 %SSF Employee</t>
  </si>
  <si>
    <t xml:space="preserve"> 5.0 %PF Employer</t>
  </si>
  <si>
    <t xml:space="preserve"> 5.0 %PF Employee</t>
  </si>
  <si>
    <t>Personal Relief</t>
  </si>
  <si>
    <t>13% SSF Employer</t>
  </si>
  <si>
    <t>Total Relief</t>
  </si>
  <si>
    <t>Taxable Income</t>
  </si>
  <si>
    <t>PAYE Tax Deduct.</t>
  </si>
  <si>
    <t>Net Pay After Tax</t>
  </si>
  <si>
    <t>0062</t>
  </si>
  <si>
    <t>Adjetey Edward</t>
  </si>
  <si>
    <t>0608</t>
  </si>
  <si>
    <t>Ampofo Sussana Adei</t>
  </si>
  <si>
    <t>0519</t>
  </si>
  <si>
    <t>Arthur Jonathan</t>
  </si>
  <si>
    <t>Baba Samuel Abugri</t>
  </si>
  <si>
    <t>0045</t>
  </si>
  <si>
    <t>Hayford Elijah</t>
  </si>
  <si>
    <t>0607</t>
  </si>
  <si>
    <t>Mensah Veronica</t>
  </si>
  <si>
    <t>0650</t>
  </si>
  <si>
    <t>Mereku Alfred</t>
  </si>
  <si>
    <t>0066</t>
  </si>
  <si>
    <t>Nyakonorh Eric</t>
  </si>
  <si>
    <t>0085</t>
  </si>
  <si>
    <t>Omedu Emmanuella Angella</t>
  </si>
  <si>
    <t>0207</t>
  </si>
  <si>
    <t>Opoku Dorcas</t>
  </si>
  <si>
    <t>0614</t>
  </si>
  <si>
    <t>Opoku Duah  Adriana</t>
  </si>
  <si>
    <t>Owusu Samuel</t>
  </si>
  <si>
    <t>0716</t>
  </si>
  <si>
    <t>Pambong Umoro Ali</t>
  </si>
  <si>
    <t>0549</t>
  </si>
  <si>
    <t>Tackie Amorkor Ivy</t>
  </si>
  <si>
    <t>TOTAL</t>
  </si>
  <si>
    <t>Rank</t>
  </si>
  <si>
    <t>Lenth of service</t>
  </si>
  <si>
    <t>Department</t>
  </si>
  <si>
    <t>Records/Front Desk</t>
  </si>
  <si>
    <t xml:space="preserve">Laboratory </t>
  </si>
  <si>
    <t>X-ray</t>
  </si>
  <si>
    <t>Scan</t>
  </si>
  <si>
    <t>MLS</t>
  </si>
  <si>
    <t>Diploma</t>
  </si>
  <si>
    <t>Degree</t>
  </si>
  <si>
    <t>Tuffour Raymond Edward</t>
  </si>
  <si>
    <t>15yrs 8mths</t>
  </si>
  <si>
    <t>4yrs</t>
  </si>
  <si>
    <t>5yrs</t>
  </si>
  <si>
    <t>5 mths</t>
  </si>
  <si>
    <t>1yr 1mth</t>
  </si>
  <si>
    <t>15yrs 10mths</t>
  </si>
  <si>
    <t>7mths</t>
  </si>
  <si>
    <t>9mths</t>
  </si>
  <si>
    <t>3 mths</t>
  </si>
  <si>
    <t>3yrs 7mths</t>
  </si>
  <si>
    <t>3yrs 9mths</t>
  </si>
  <si>
    <t>2yrs</t>
  </si>
  <si>
    <t>14yrs 7mths</t>
  </si>
  <si>
    <t>MED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</si>
</sst>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9">
    <xf numFmtId="0" fontId="0" fillId="0" borderId="0" xfId="0"/>
    <xf numFmtId="164" fontId="0" fillId="0" borderId="0" xfId="1" applyFont="1" applyFill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5" fillId="0" borderId="4" xfId="0" applyFont="1" applyBorder="1"/>
    <xf numFmtId="0" fontId="0" fillId="0" borderId="1" xfId="0" applyBorder="1"/>
    <xf numFmtId="0" fontId="0" fillId="0" borderId="2" xfId="0" applyBorder="1"/>
    <xf numFmtId="164" fontId="0" fillId="0" borderId="2" xfId="1" applyFont="1" applyFill="1" applyBorder="1"/>
    <xf numFmtId="0" fontId="2" fillId="0" borderId="2" xfId="0" applyFont="1" applyBorder="1"/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1" applyFont="1" applyFill="1" applyBorder="1" applyAlignment="1">
      <alignment horizontal="center" wrapText="1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164" fontId="0" fillId="0" borderId="5" xfId="1" applyFont="1" applyFill="1" applyBorder="1"/>
    <xf numFmtId="164" fontId="3" fillId="0" borderId="5" xfId="1" applyFont="1" applyFill="1" applyBorder="1"/>
    <xf numFmtId="0" fontId="0" fillId="0" borderId="5" xfId="0" quotePrefix="1" applyBorder="1"/>
    <xf numFmtId="0" fontId="0" fillId="0" borderId="5" xfId="0" applyBorder="1"/>
    <xf numFmtId="164" fontId="1" fillId="0" borderId="5" xfId="1" applyFont="1" applyFill="1" applyBorder="1"/>
    <xf numFmtId="0" fontId="3" fillId="0" borderId="5" xfId="0" quotePrefix="1" applyFont="1" applyBorder="1"/>
    <xf numFmtId="0" fontId="3" fillId="0" borderId="5" xfId="0" applyFont="1" applyBorder="1"/>
    <xf numFmtId="0" fontId="8" fillId="0" borderId="5" xfId="0" applyFont="1" applyBorder="1"/>
    <xf numFmtId="0" fontId="9" fillId="0" borderId="5" xfId="0" applyFont="1" applyBorder="1"/>
    <xf numFmtId="43" fontId="9" fillId="0" borderId="5" xfId="0" applyNumberFormat="1" applyFont="1" applyBorder="1"/>
    <xf numFmtId="0" fontId="8" fillId="0" borderId="0" xfId="0" applyFont="1"/>
    <xf numFmtId="0" fontId="9" fillId="0" borderId="0" xfId="0" applyFont="1"/>
    <xf numFmtId="43" fontId="9" fillId="0" borderId="0" xfId="0" applyNumberFormat="1" applyFont="1"/>
    <xf numFmtId="164" fontId="9" fillId="0" borderId="0" xfId="1" applyFont="1" applyFill="1" applyBorder="1"/>
    <xf numFmtId="43" fontId="7" fillId="0" borderId="0" xfId="0" applyNumberFormat="1" applyFont="1"/>
    <xf numFmtId="43" fontId="0" fillId="0" borderId="0" xfId="0" applyNumberFormat="1"/>
    <xf numFmtId="43" fontId="4" fillId="0" borderId="0" xfId="0" applyNumberFormat="1" applyFont="1"/>
    <xf numFmtId="164" fontId="8" fillId="0" borderId="0" xfId="1" applyFont="1" applyFill="1"/>
    <xf numFmtId="0" fontId="0" fillId="0" borderId="5" xfId="0" applyFill="1" applyBorder="1" applyAlignment="1">
      <alignment horizontal="right"/>
    </xf>
    <xf numFmtId="0" fontId="0" fillId="0" borderId="5" xfId="0" quotePrefix="1" applyFill="1" applyBorder="1"/>
    <xf numFmtId="0" fontId="0" fillId="0" borderId="5" xfId="0" applyFill="1" applyBorder="1"/>
    <xf numFmtId="0" fontId="3" fillId="0" borderId="5" xfId="0" applyFont="1" applyFill="1" applyBorder="1"/>
    <xf numFmtId="0" fontId="0" fillId="0" borderId="0" xfId="0" applyFill="1"/>
    <xf numFmtId="164" fontId="2" fillId="0" borderId="5" xfId="1" applyFont="1" applyFill="1" applyBorder="1"/>
    <xf numFmtId="43" fontId="9" fillId="3" borderId="5" xfId="2" applyNumberFormat="1" applyFont="1" applyFill="1" applyBorder="1"/>
    <xf numFmtId="0" fontId="0" fillId="4" borderId="5" xfId="0" applyFill="1" applyBorder="1"/>
    <xf numFmtId="0" fontId="0" fillId="5" borderId="5" xfId="0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0" fillId="6" borderId="5" xfId="0" applyFill="1" applyBorder="1"/>
    <xf numFmtId="0" fontId="0" fillId="7" borderId="5" xfId="0" applyFill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20% - Accent5" xfId="2" builtinId="46"/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E38F9DD-280B-4D15-8F88-6E2D0E7FB4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133350</xdr:rowOff>
    </xdr:from>
    <xdr:to>
      <xdr:col>7</xdr:col>
      <xdr:colOff>777699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2C0C2-EBB5-4C24-A5AF-131C2BFA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33350"/>
          <a:ext cx="8064324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9FB9-232E-4F92-BE48-9222A9295B88}">
  <dimension ref="A1:T33"/>
  <sheetViews>
    <sheetView tabSelected="1" topLeftCell="R1" workbookViewId="0">
      <selection activeCell="O19" sqref="O19"/>
    </sheetView>
  </sheetViews>
  <sheetFormatPr defaultColWidth="9.01171875" defaultRowHeight="15" x14ac:dyDescent="0.2"/>
  <cols>
    <col min="1" max="1" width="6.3203125" bestFit="1" customWidth="1"/>
    <col min="3" max="3" width="29.19140625" bestFit="1" customWidth="1"/>
    <col min="4" max="4" width="29.19140625" customWidth="1"/>
    <col min="5" max="5" width="11.56640625" bestFit="1" customWidth="1"/>
    <col min="6" max="6" width="13.5859375" bestFit="1" customWidth="1"/>
    <col min="7" max="7" width="14.125" customWidth="1"/>
    <col min="8" max="8" width="19.37109375" customWidth="1"/>
    <col min="9" max="9" width="13.44921875" bestFit="1" customWidth="1"/>
    <col min="10" max="10" width="14.52734375" customWidth="1"/>
    <col min="11" max="11" width="14.52734375" bestFit="1" customWidth="1"/>
    <col min="12" max="12" width="16.27734375" customWidth="1"/>
    <col min="13" max="14" width="12.23828125" bestFit="1" customWidth="1"/>
    <col min="15" max="15" width="11.296875" customWidth="1"/>
    <col min="16" max="16" width="12.23828125" bestFit="1" customWidth="1"/>
    <col min="17" max="17" width="12.375" customWidth="1"/>
    <col min="18" max="18" width="14.390625" customWidth="1"/>
    <col min="19" max="19" width="13.44921875" style="1" bestFit="1" customWidth="1"/>
    <col min="20" max="20" width="14.2578125" customWidth="1"/>
  </cols>
  <sheetData>
    <row r="1" spans="1:20" x14ac:dyDescent="0.2">
      <c r="T1" s="2"/>
    </row>
    <row r="2" spans="1:20" x14ac:dyDescent="0.2">
      <c r="T2" s="2"/>
    </row>
    <row r="3" spans="1:20" x14ac:dyDescent="0.2">
      <c r="T3" s="2"/>
    </row>
    <row r="4" spans="1:20" x14ac:dyDescent="0.2">
      <c r="T4" s="2"/>
    </row>
    <row r="5" spans="1:20" x14ac:dyDescent="0.2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T5" s="2"/>
    </row>
    <row r="6" spans="1:20" x14ac:dyDescent="0.2">
      <c r="A6" s="52" t="s">
        <v>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T6" s="2"/>
    </row>
    <row r="7" spans="1:20" x14ac:dyDescent="0.2">
      <c r="A7" s="2"/>
      <c r="B7" s="2"/>
      <c r="C7" s="2"/>
      <c r="D7" s="2"/>
      <c r="E7" s="2"/>
      <c r="F7" s="2"/>
      <c r="T7" s="2"/>
    </row>
    <row r="8" spans="1:20" x14ac:dyDescent="0.2">
      <c r="A8" s="52" t="s">
        <v>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T8" s="2"/>
    </row>
    <row r="9" spans="1:20" x14ac:dyDescent="0.2">
      <c r="E9" s="3"/>
      <c r="F9" s="3"/>
      <c r="G9" s="3"/>
      <c r="T9" s="5"/>
    </row>
    <row r="10" spans="1:20" x14ac:dyDescent="0.2">
      <c r="H10" s="53" t="s">
        <v>3</v>
      </c>
      <c r="I10" s="54"/>
      <c r="J10" s="55"/>
      <c r="K10" s="6"/>
      <c r="L10" s="56" t="s">
        <v>4</v>
      </c>
      <c r="M10" s="57"/>
      <c r="N10" s="57"/>
      <c r="O10" s="57"/>
      <c r="P10" s="58"/>
      <c r="Q10" s="7"/>
      <c r="R10" s="8"/>
      <c r="S10" s="9"/>
      <c r="T10" s="10"/>
    </row>
    <row r="11" spans="1:20" ht="25.5" x14ac:dyDescent="0.2">
      <c r="A11" s="11" t="s">
        <v>5</v>
      </c>
      <c r="B11" s="12" t="s">
        <v>6</v>
      </c>
      <c r="C11" s="13" t="s">
        <v>7</v>
      </c>
      <c r="D11" s="13" t="s">
        <v>51</v>
      </c>
      <c r="E11" s="13" t="s">
        <v>49</v>
      </c>
      <c r="F11" s="14" t="s">
        <v>50</v>
      </c>
      <c r="G11" s="14" t="s">
        <v>8</v>
      </c>
      <c r="H11" s="15" t="s">
        <v>9</v>
      </c>
      <c r="I11" s="16" t="s">
        <v>10</v>
      </c>
      <c r="J11" s="16" t="s">
        <v>11</v>
      </c>
      <c r="K11" s="16" t="s">
        <v>12</v>
      </c>
      <c r="L11" s="16" t="s">
        <v>13</v>
      </c>
      <c r="M11" s="16" t="s">
        <v>14</v>
      </c>
      <c r="N11" s="16" t="s">
        <v>15</v>
      </c>
      <c r="O11" s="17" t="s">
        <v>16</v>
      </c>
      <c r="P11" s="16" t="s">
        <v>17</v>
      </c>
      <c r="Q11" s="17" t="s">
        <v>18</v>
      </c>
      <c r="R11" s="16" t="s">
        <v>19</v>
      </c>
      <c r="S11" s="18" t="s">
        <v>20</v>
      </c>
      <c r="T11" s="16" t="s">
        <v>21</v>
      </c>
    </row>
    <row r="12" spans="1:20" x14ac:dyDescent="0.2">
      <c r="A12" s="19">
        <v>1</v>
      </c>
      <c r="B12" s="23" t="s">
        <v>22</v>
      </c>
      <c r="C12" s="46" t="s">
        <v>23</v>
      </c>
      <c r="D12" s="24" t="s">
        <v>52</v>
      </c>
      <c r="E12" s="21" t="s">
        <v>57</v>
      </c>
      <c r="F12" s="21" t="s">
        <v>60</v>
      </c>
      <c r="G12" s="21">
        <v>2636.28</v>
      </c>
      <c r="H12" s="21">
        <v>0</v>
      </c>
      <c r="I12" s="21">
        <v>1179.29</v>
      </c>
      <c r="J12" s="21">
        <v>601.24</v>
      </c>
      <c r="K12" s="44">
        <f t="shared" ref="K12:K24" si="0">G12+H12+I12+J12</f>
        <v>4416.8100000000004</v>
      </c>
      <c r="L12" s="21">
        <f t="shared" ref="L12:L24" si="1">G12*5.5%</f>
        <v>144.99540000000002</v>
      </c>
      <c r="M12" s="21">
        <f t="shared" ref="M12:M22" si="2">G12*0.05</f>
        <v>131.81400000000002</v>
      </c>
      <c r="N12" s="21">
        <f>G12*0.115</f>
        <v>303.17220000000003</v>
      </c>
      <c r="O12" s="21"/>
      <c r="P12" s="21">
        <f t="shared" ref="P12:P26" si="3">G12*13%</f>
        <v>342.71640000000002</v>
      </c>
      <c r="Q12" s="21">
        <f t="shared" ref="Q12:Q26" si="4">L12+N12+O12</f>
        <v>448.16760000000005</v>
      </c>
      <c r="R12" s="21">
        <f t="shared" ref="R12:R25" si="5">K12-Q12</f>
        <v>3968.6424000000002</v>
      </c>
      <c r="S12" s="21">
        <v>590.66</v>
      </c>
      <c r="T12" s="45">
        <f>K12-(L12+S12+N12)</f>
        <v>3377.9824000000003</v>
      </c>
    </row>
    <row r="13" spans="1:20" x14ac:dyDescent="0.2">
      <c r="A13" s="19">
        <f>A12+1</f>
        <v>2</v>
      </c>
      <c r="B13" s="23" t="s">
        <v>24</v>
      </c>
      <c r="C13" s="46" t="s">
        <v>25</v>
      </c>
      <c r="D13" s="24" t="s">
        <v>52</v>
      </c>
      <c r="E13" s="21" t="s">
        <v>58</v>
      </c>
      <c r="F13" s="21" t="s">
        <v>61</v>
      </c>
      <c r="G13" s="21">
        <v>1945.22</v>
      </c>
      <c r="H13" s="21"/>
      <c r="I13" s="21">
        <v>1059.42</v>
      </c>
      <c r="J13" s="21">
        <v>744.76</v>
      </c>
      <c r="K13" s="44">
        <f t="shared" si="0"/>
        <v>3749.4000000000005</v>
      </c>
      <c r="L13" s="21">
        <f t="shared" si="1"/>
        <v>106.9871</v>
      </c>
      <c r="M13" s="21">
        <f t="shared" si="2"/>
        <v>97.26100000000001</v>
      </c>
      <c r="N13" s="21">
        <f t="shared" ref="N13:N22" si="6">G13*0.05</f>
        <v>97.26100000000001</v>
      </c>
      <c r="O13" s="21"/>
      <c r="P13" s="21">
        <f t="shared" si="3"/>
        <v>252.87860000000001</v>
      </c>
      <c r="Q13" s="21">
        <f t="shared" si="4"/>
        <v>204.24810000000002</v>
      </c>
      <c r="R13" s="21">
        <f t="shared" si="5"/>
        <v>3545.1519000000008</v>
      </c>
      <c r="S13" s="25">
        <v>511.15</v>
      </c>
      <c r="T13" s="45">
        <f>K13-(L13+S13+N13)</f>
        <v>3034.0019000000007</v>
      </c>
    </row>
    <row r="14" spans="1:20" x14ac:dyDescent="0.2">
      <c r="A14" s="19">
        <f t="shared" ref="A14:A18" si="7">A13+1</f>
        <v>3</v>
      </c>
      <c r="B14" s="23" t="s">
        <v>31</v>
      </c>
      <c r="C14" s="46" t="s">
        <v>32</v>
      </c>
      <c r="D14" s="24" t="s">
        <v>52</v>
      </c>
      <c r="E14" s="21" t="s">
        <v>58</v>
      </c>
      <c r="F14" s="21" t="s">
        <v>61</v>
      </c>
      <c r="G14" s="21">
        <v>1945.22</v>
      </c>
      <c r="H14" s="21"/>
      <c r="I14" s="21">
        <v>1136.98</v>
      </c>
      <c r="J14" s="21">
        <v>667.2</v>
      </c>
      <c r="K14" s="44">
        <f t="shared" ref="K14" si="8">G14+H14+I14+J14</f>
        <v>3749.3999999999996</v>
      </c>
      <c r="L14" s="21">
        <f t="shared" ref="L14" si="9">G14*5.5%</f>
        <v>106.9871</v>
      </c>
      <c r="M14" s="9">
        <f t="shared" si="2"/>
        <v>97.26100000000001</v>
      </c>
      <c r="N14" s="21">
        <f t="shared" si="6"/>
        <v>97.26100000000001</v>
      </c>
      <c r="O14" s="21"/>
      <c r="P14" s="21">
        <f t="shared" si="3"/>
        <v>252.87860000000001</v>
      </c>
      <c r="Q14" s="21">
        <f t="shared" si="4"/>
        <v>204.24810000000002</v>
      </c>
      <c r="R14" s="21">
        <f t="shared" si="5"/>
        <v>3545.1518999999998</v>
      </c>
      <c r="S14" s="21">
        <v>511.15</v>
      </c>
      <c r="T14" s="45">
        <f>K14-(L14+S14+N14)</f>
        <v>3034.0018999999998</v>
      </c>
    </row>
    <row r="15" spans="1:20" x14ac:dyDescent="0.2">
      <c r="A15" s="19">
        <f t="shared" si="7"/>
        <v>4</v>
      </c>
      <c r="B15" s="23" t="s">
        <v>39</v>
      </c>
      <c r="C15" s="46" t="s">
        <v>40</v>
      </c>
      <c r="D15" s="24" t="s">
        <v>52</v>
      </c>
      <c r="E15" s="21" t="s">
        <v>57</v>
      </c>
      <c r="F15" s="21" t="s">
        <v>72</v>
      </c>
      <c r="G15" s="21">
        <v>2310</v>
      </c>
      <c r="H15" s="21">
        <v>0</v>
      </c>
      <c r="I15" s="21">
        <v>1108.52</v>
      </c>
      <c r="J15" s="21">
        <v>718</v>
      </c>
      <c r="K15" s="44">
        <f t="shared" si="0"/>
        <v>4136.5200000000004</v>
      </c>
      <c r="L15" s="21">
        <f t="shared" si="1"/>
        <v>127.05</v>
      </c>
      <c r="M15" s="9">
        <f t="shared" si="2"/>
        <v>115.5</v>
      </c>
      <c r="N15" s="21">
        <f>G15*0.115</f>
        <v>265.65000000000003</v>
      </c>
      <c r="O15" s="21"/>
      <c r="P15" s="21">
        <f t="shared" si="3"/>
        <v>300.3</v>
      </c>
      <c r="Q15" s="21">
        <f t="shared" si="4"/>
        <v>392.70000000000005</v>
      </c>
      <c r="R15" s="21">
        <f t="shared" si="5"/>
        <v>3743.8200000000006</v>
      </c>
      <c r="S15" s="21">
        <v>545.91999999999996</v>
      </c>
      <c r="T15" s="45">
        <f>K15-(L15+S15+N15)</f>
        <v>3197.9000000000005</v>
      </c>
    </row>
    <row r="16" spans="1:20" x14ac:dyDescent="0.2">
      <c r="A16" s="19">
        <f t="shared" si="7"/>
        <v>5</v>
      </c>
      <c r="B16" s="23" t="s">
        <v>41</v>
      </c>
      <c r="C16" s="46" t="s">
        <v>42</v>
      </c>
      <c r="D16" s="24" t="s">
        <v>52</v>
      </c>
      <c r="E16" s="21" t="s">
        <v>58</v>
      </c>
      <c r="F16" s="21" t="s">
        <v>70</v>
      </c>
      <c r="G16" s="21">
        <v>1945.22</v>
      </c>
      <c r="H16" s="21"/>
      <c r="I16" s="21">
        <v>1136.98</v>
      </c>
      <c r="J16" s="21">
        <v>667.2</v>
      </c>
      <c r="K16" s="44">
        <f>G16+H16+I16+J16</f>
        <v>3749.3999999999996</v>
      </c>
      <c r="L16" s="21">
        <f>G16*5.5%</f>
        <v>106.9871</v>
      </c>
      <c r="M16" s="21">
        <f>G16*0.05</f>
        <v>97.26100000000001</v>
      </c>
      <c r="N16" s="21">
        <f>G16*0.05</f>
        <v>97.26100000000001</v>
      </c>
      <c r="O16" s="21"/>
      <c r="P16" s="21">
        <f>G16*13%</f>
        <v>252.87860000000001</v>
      </c>
      <c r="Q16" s="21">
        <f>L16+N16+O16</f>
        <v>204.24810000000002</v>
      </c>
      <c r="R16" s="21">
        <f>K16-Q16</f>
        <v>3545.1518999999998</v>
      </c>
      <c r="S16" s="21">
        <v>511.15</v>
      </c>
      <c r="T16" s="45">
        <f>K16-(L16+S16+N16)</f>
        <v>3034.0018999999998</v>
      </c>
    </row>
    <row r="17" spans="1:20" x14ac:dyDescent="0.2">
      <c r="A17" s="19">
        <f t="shared" si="7"/>
        <v>6</v>
      </c>
      <c r="B17" s="23" t="s">
        <v>26</v>
      </c>
      <c r="C17" s="47" t="s">
        <v>27</v>
      </c>
      <c r="D17" s="24" t="s">
        <v>53</v>
      </c>
      <c r="E17" s="21" t="s">
        <v>56</v>
      </c>
      <c r="F17" s="21" t="s">
        <v>62</v>
      </c>
      <c r="G17" s="21">
        <v>2545.9299999999998</v>
      </c>
      <c r="H17" s="21"/>
      <c r="I17" s="21">
        <v>1179.82</v>
      </c>
      <c r="J17" s="21">
        <v>684.74</v>
      </c>
      <c r="K17" s="44">
        <f t="shared" si="0"/>
        <v>4410.49</v>
      </c>
      <c r="L17" s="21">
        <f t="shared" si="1"/>
        <v>140.02615</v>
      </c>
      <c r="M17" s="21">
        <f t="shared" si="2"/>
        <v>127.29649999999999</v>
      </c>
      <c r="N17" s="21">
        <f t="shared" si="6"/>
        <v>127.29649999999999</v>
      </c>
      <c r="O17" s="21"/>
      <c r="P17" s="21">
        <f t="shared" si="3"/>
        <v>330.97089999999997</v>
      </c>
      <c r="Q17" s="21">
        <f t="shared" si="4"/>
        <v>267.32265000000001</v>
      </c>
      <c r="R17" s="21">
        <f t="shared" si="5"/>
        <v>4143.1673499999997</v>
      </c>
      <c r="S17" s="21">
        <v>634.29</v>
      </c>
      <c r="T17" s="45">
        <f>K17-(L17+S17+N17)</f>
        <v>3508.8773499999998</v>
      </c>
    </row>
    <row r="18" spans="1:20" x14ac:dyDescent="0.2">
      <c r="A18" s="19">
        <f t="shared" si="7"/>
        <v>7</v>
      </c>
      <c r="B18" s="20">
        <v>536</v>
      </c>
      <c r="C18" s="47" t="s">
        <v>28</v>
      </c>
      <c r="D18" s="24" t="s">
        <v>53</v>
      </c>
      <c r="E18" s="21" t="s">
        <v>56</v>
      </c>
      <c r="F18" s="22" t="s">
        <v>69</v>
      </c>
      <c r="G18" s="21">
        <v>2910.23</v>
      </c>
      <c r="H18" s="21"/>
      <c r="I18" s="21">
        <v>1426.99</v>
      </c>
      <c r="J18" s="21">
        <v>916.45</v>
      </c>
      <c r="K18" s="44">
        <f t="shared" si="0"/>
        <v>5253.67</v>
      </c>
      <c r="L18" s="21">
        <f t="shared" si="1"/>
        <v>160.06264999999999</v>
      </c>
      <c r="M18" s="21">
        <f t="shared" si="2"/>
        <v>145.51150000000001</v>
      </c>
      <c r="N18" s="21">
        <f t="shared" si="6"/>
        <v>145.51150000000001</v>
      </c>
      <c r="O18" s="21"/>
      <c r="P18" s="21">
        <f t="shared" si="3"/>
        <v>378.32990000000001</v>
      </c>
      <c r="Q18" s="21">
        <f t="shared" si="4"/>
        <v>305.57415000000003</v>
      </c>
      <c r="R18" s="21">
        <f t="shared" si="5"/>
        <v>4948.0958499999997</v>
      </c>
      <c r="S18" s="22">
        <v>835.52</v>
      </c>
      <c r="T18" s="45">
        <f>K18-(L18+S18+N18)</f>
        <v>4112.5758500000002</v>
      </c>
    </row>
    <row r="19" spans="1:20" x14ac:dyDescent="0.2">
      <c r="A19" s="19">
        <f t="shared" ref="A15:A26" si="10">A18+1</f>
        <v>8</v>
      </c>
      <c r="B19" s="23" t="s">
        <v>33</v>
      </c>
      <c r="C19" s="47" t="s">
        <v>34</v>
      </c>
      <c r="D19" s="24" t="s">
        <v>53</v>
      </c>
      <c r="E19" s="21" t="s">
        <v>73</v>
      </c>
      <c r="F19" s="21" t="s">
        <v>64</v>
      </c>
      <c r="G19" s="21">
        <v>1745.62</v>
      </c>
      <c r="H19" s="21"/>
      <c r="I19" s="21">
        <v>576.05999999999995</v>
      </c>
      <c r="J19" s="21">
        <v>0</v>
      </c>
      <c r="K19" s="44">
        <f t="shared" ref="K19" si="11">G19+H19+I19+J19</f>
        <v>2321.6799999999998</v>
      </c>
      <c r="L19" s="21">
        <f t="shared" si="1"/>
        <v>96.009099999999989</v>
      </c>
      <c r="M19" s="9"/>
      <c r="N19" s="21"/>
      <c r="O19" s="21"/>
      <c r="P19" s="21">
        <f t="shared" si="3"/>
        <v>226.9306</v>
      </c>
      <c r="Q19" s="21">
        <f t="shared" si="4"/>
        <v>96.009099999999989</v>
      </c>
      <c r="R19" s="21">
        <f t="shared" si="5"/>
        <v>2225.6709000000001</v>
      </c>
      <c r="S19" s="21">
        <v>280.24</v>
      </c>
      <c r="T19" s="45">
        <f>K19-(L19+S19+N19)</f>
        <v>1945.4308999999998</v>
      </c>
    </row>
    <row r="20" spans="1:20" x14ac:dyDescent="0.2">
      <c r="A20" s="19">
        <f t="shared" si="10"/>
        <v>9</v>
      </c>
      <c r="B20" s="23" t="s">
        <v>35</v>
      </c>
      <c r="C20" s="47" t="s">
        <v>36</v>
      </c>
      <c r="D20" s="24" t="s">
        <v>53</v>
      </c>
      <c r="E20" s="21" t="s">
        <v>57</v>
      </c>
      <c r="F20" s="21" t="s">
        <v>65</v>
      </c>
      <c r="G20" s="21">
        <v>2245.09</v>
      </c>
      <c r="H20" s="21"/>
      <c r="I20" s="21">
        <v>1229.22</v>
      </c>
      <c r="J20" s="21">
        <v>875.95</v>
      </c>
      <c r="K20" s="44">
        <f t="shared" ref="K20:K22" si="12">G20+H20+I20+J20</f>
        <v>4350.26</v>
      </c>
      <c r="L20" s="21">
        <f t="shared" si="1"/>
        <v>123.47995</v>
      </c>
      <c r="M20" s="9">
        <f t="shared" si="2"/>
        <v>112.25450000000001</v>
      </c>
      <c r="N20" s="21">
        <f t="shared" si="6"/>
        <v>112.25450000000001</v>
      </c>
      <c r="O20" s="21"/>
      <c r="P20" s="21">
        <f t="shared" si="3"/>
        <v>291.86170000000004</v>
      </c>
      <c r="Q20" s="21">
        <f t="shared" si="4"/>
        <v>235.73445000000001</v>
      </c>
      <c r="R20" s="21">
        <f t="shared" si="5"/>
        <v>4114.5255500000003</v>
      </c>
      <c r="S20" s="21">
        <v>627.13</v>
      </c>
      <c r="T20" s="45">
        <f>K20-(L20+S20+N20)</f>
        <v>3487.3955500000002</v>
      </c>
    </row>
    <row r="21" spans="1:20" x14ac:dyDescent="0.2">
      <c r="A21" s="19">
        <f t="shared" si="10"/>
        <v>10</v>
      </c>
      <c r="B21" s="26" t="s">
        <v>46</v>
      </c>
      <c r="C21" s="48" t="s">
        <v>43</v>
      </c>
      <c r="D21" s="24" t="s">
        <v>53</v>
      </c>
      <c r="E21" s="22" t="s">
        <v>56</v>
      </c>
      <c r="F21" s="22" t="s">
        <v>69</v>
      </c>
      <c r="G21" s="22">
        <v>2710.98</v>
      </c>
      <c r="H21" s="22"/>
      <c r="I21" s="22">
        <v>1394.83</v>
      </c>
      <c r="J21" s="22">
        <v>825.19</v>
      </c>
      <c r="K21" s="44">
        <f t="shared" si="12"/>
        <v>4931</v>
      </c>
      <c r="L21" s="21">
        <f t="shared" si="1"/>
        <v>149.10390000000001</v>
      </c>
      <c r="M21" s="9">
        <f t="shared" si="2"/>
        <v>135.54900000000001</v>
      </c>
      <c r="N21" s="21">
        <f t="shared" si="6"/>
        <v>135.54900000000001</v>
      </c>
      <c r="O21" s="22"/>
      <c r="P21" s="21">
        <f t="shared" si="3"/>
        <v>352.42740000000003</v>
      </c>
      <c r="Q21" s="21">
        <f t="shared" si="4"/>
        <v>284.65290000000005</v>
      </c>
      <c r="R21" s="21">
        <f t="shared" si="5"/>
        <v>4646.3471</v>
      </c>
      <c r="S21" s="21">
        <v>760.09</v>
      </c>
      <c r="T21" s="45">
        <f>K21-(L21+S21+N21)</f>
        <v>3886.2570999999998</v>
      </c>
    </row>
    <row r="22" spans="1:20" x14ac:dyDescent="0.2">
      <c r="A22" s="19">
        <f t="shared" si="10"/>
        <v>11</v>
      </c>
      <c r="B22" s="26" t="s">
        <v>46</v>
      </c>
      <c r="C22" s="48" t="s">
        <v>47</v>
      </c>
      <c r="D22" s="24" t="s">
        <v>53</v>
      </c>
      <c r="E22" s="22" t="s">
        <v>73</v>
      </c>
      <c r="F22" s="22" t="s">
        <v>71</v>
      </c>
      <c r="G22" s="22">
        <v>1533.66</v>
      </c>
      <c r="H22" s="22"/>
      <c r="I22" s="22">
        <v>753.61</v>
      </c>
      <c r="J22" s="22">
        <v>351.11</v>
      </c>
      <c r="K22" s="44">
        <f t="shared" si="12"/>
        <v>2638.38</v>
      </c>
      <c r="L22" s="21">
        <f t="shared" si="1"/>
        <v>84.351300000000009</v>
      </c>
      <c r="M22" s="9">
        <f t="shared" si="2"/>
        <v>76.683000000000007</v>
      </c>
      <c r="N22" s="21">
        <f t="shared" si="6"/>
        <v>76.683000000000007</v>
      </c>
      <c r="O22" s="22"/>
      <c r="P22" s="21">
        <f t="shared" si="3"/>
        <v>199.37580000000003</v>
      </c>
      <c r="Q22" s="21">
        <f t="shared" si="4"/>
        <v>161.03430000000003</v>
      </c>
      <c r="R22" s="21">
        <f t="shared" si="5"/>
        <v>2477.3456999999999</v>
      </c>
      <c r="S22" s="21">
        <v>324.29000000000002</v>
      </c>
      <c r="T22" s="45">
        <f>K22-(L22+S22+N22)</f>
        <v>2153.0556999999999</v>
      </c>
    </row>
    <row r="23" spans="1:20" x14ac:dyDescent="0.2">
      <c r="A23" s="19">
        <f t="shared" si="10"/>
        <v>12</v>
      </c>
      <c r="B23" s="23" t="s">
        <v>29</v>
      </c>
      <c r="C23" s="49" t="s">
        <v>30</v>
      </c>
      <c r="D23" s="27" t="s">
        <v>54</v>
      </c>
      <c r="E23" s="21" t="s">
        <v>58</v>
      </c>
      <c r="F23" s="21" t="s">
        <v>63</v>
      </c>
      <c r="G23" s="21">
        <v>3384.73</v>
      </c>
      <c r="H23" s="21"/>
      <c r="I23" s="21">
        <v>800</v>
      </c>
      <c r="J23" s="21">
        <v>400</v>
      </c>
      <c r="K23" s="44">
        <f>G23+H23+I23+J23</f>
        <v>4584.7299999999996</v>
      </c>
      <c r="L23" s="21">
        <f>G23*5.5%</f>
        <v>186.16015000000002</v>
      </c>
      <c r="M23" s="21"/>
      <c r="N23" s="21"/>
      <c r="O23" s="21"/>
      <c r="P23" s="21">
        <f t="shared" si="3"/>
        <v>440.01490000000001</v>
      </c>
      <c r="Q23" s="21">
        <f t="shared" si="4"/>
        <v>186.16015000000002</v>
      </c>
      <c r="R23" s="21">
        <f t="shared" si="5"/>
        <v>4398.5698499999999</v>
      </c>
      <c r="S23" s="21">
        <v>698.14</v>
      </c>
      <c r="T23" s="45">
        <f t="shared" ref="T23:T24" si="13">K23-(L23+S23+N23)</f>
        <v>3700.4298499999995</v>
      </c>
    </row>
    <row r="24" spans="1:20" s="43" customFormat="1" x14ac:dyDescent="0.2">
      <c r="A24" s="19">
        <f t="shared" si="10"/>
        <v>13</v>
      </c>
      <c r="B24" s="40" t="s">
        <v>44</v>
      </c>
      <c r="C24" s="50" t="s">
        <v>45</v>
      </c>
      <c r="D24" s="42" t="s">
        <v>54</v>
      </c>
      <c r="E24" s="21" t="s">
        <v>58</v>
      </c>
      <c r="F24" s="21" t="s">
        <v>68</v>
      </c>
      <c r="G24" s="21">
        <v>3384.73</v>
      </c>
      <c r="H24" s="21"/>
      <c r="I24" s="21">
        <v>800</v>
      </c>
      <c r="J24" s="21">
        <v>400</v>
      </c>
      <c r="K24" s="44">
        <f t="shared" si="0"/>
        <v>4584.7299999999996</v>
      </c>
      <c r="L24" s="21">
        <f t="shared" si="1"/>
        <v>186.16015000000002</v>
      </c>
      <c r="M24" s="9"/>
      <c r="N24" s="21"/>
      <c r="O24" s="21"/>
      <c r="P24" s="21">
        <f t="shared" si="3"/>
        <v>440.01490000000001</v>
      </c>
      <c r="Q24" s="21">
        <f t="shared" si="4"/>
        <v>186.16015000000002</v>
      </c>
      <c r="R24" s="21">
        <f t="shared" si="5"/>
        <v>4398.5698499999999</v>
      </c>
      <c r="S24" s="21">
        <v>698.14</v>
      </c>
      <c r="T24" s="45">
        <f t="shared" si="13"/>
        <v>3700.4298499999995</v>
      </c>
    </row>
    <row r="25" spans="1:20" x14ac:dyDescent="0.2">
      <c r="A25" s="19">
        <f t="shared" si="10"/>
        <v>14</v>
      </c>
      <c r="B25" s="23" t="s">
        <v>37</v>
      </c>
      <c r="C25" s="51" t="s">
        <v>38</v>
      </c>
      <c r="D25" s="24" t="s">
        <v>55</v>
      </c>
      <c r="E25" s="21" t="s">
        <v>58</v>
      </c>
      <c r="F25" s="21" t="s">
        <v>66</v>
      </c>
      <c r="G25" s="21">
        <v>4536.3599999999997</v>
      </c>
      <c r="H25" s="21"/>
      <c r="I25" s="21">
        <v>1900.75</v>
      </c>
      <c r="J25" s="21"/>
      <c r="K25" s="44">
        <f t="shared" ref="K25" si="14">G25+H25+I25+J25</f>
        <v>6437.11</v>
      </c>
      <c r="L25" s="21">
        <f t="shared" ref="L25" si="15">G25*5.5%</f>
        <v>249.49979999999999</v>
      </c>
      <c r="M25" s="9"/>
      <c r="N25" s="21"/>
      <c r="O25" s="21"/>
      <c r="P25" s="21">
        <f t="shared" si="3"/>
        <v>589.72680000000003</v>
      </c>
      <c r="Q25" s="21">
        <f t="shared" si="4"/>
        <v>249.49979999999999</v>
      </c>
      <c r="R25" s="21">
        <f t="shared" si="5"/>
        <v>6187.6102000000001</v>
      </c>
      <c r="S25" s="21">
        <v>1145.4000000000001</v>
      </c>
      <c r="T25" s="45">
        <f t="shared" ref="T25" si="16">K25-(L25+S25+N25)</f>
        <v>5042.2101999999995</v>
      </c>
    </row>
    <row r="26" spans="1:20" s="43" customFormat="1" x14ac:dyDescent="0.2">
      <c r="A26" s="39">
        <f t="shared" si="10"/>
        <v>15</v>
      </c>
      <c r="B26" s="40" t="s">
        <v>44</v>
      </c>
      <c r="C26" s="51" t="s">
        <v>59</v>
      </c>
      <c r="D26" s="41" t="s">
        <v>55</v>
      </c>
      <c r="E26" s="21" t="s">
        <v>58</v>
      </c>
      <c r="F26" s="21" t="s">
        <v>67</v>
      </c>
      <c r="G26" s="21">
        <v>4536.3599999999997</v>
      </c>
      <c r="H26" s="21"/>
      <c r="I26" s="21">
        <v>1900.75</v>
      </c>
      <c r="J26" s="21">
        <v>0</v>
      </c>
      <c r="K26" s="44">
        <f t="shared" ref="K26" si="17">G26+H26+I26+J26</f>
        <v>6437.11</v>
      </c>
      <c r="L26" s="21">
        <f t="shared" ref="L26" si="18">G26*5.5%</f>
        <v>249.49979999999999</v>
      </c>
      <c r="M26" s="9"/>
      <c r="N26" s="21"/>
      <c r="O26" s="21"/>
      <c r="P26" s="21">
        <f t="shared" si="3"/>
        <v>589.72680000000003</v>
      </c>
      <c r="Q26" s="21">
        <f t="shared" si="4"/>
        <v>249.49979999999999</v>
      </c>
      <c r="R26" s="21">
        <f t="shared" ref="R26" si="19">K26-Q26</f>
        <v>6187.6102000000001</v>
      </c>
      <c r="S26" s="21">
        <v>1145.4000000000001</v>
      </c>
      <c r="T26" s="45">
        <f>K26-(L26+S26+N26)</f>
        <v>5042.2101999999995</v>
      </c>
    </row>
    <row r="27" spans="1:20" x14ac:dyDescent="0.2">
      <c r="A27" s="28"/>
      <c r="B27" s="28"/>
      <c r="C27" s="29" t="s">
        <v>48</v>
      </c>
      <c r="D27" s="29"/>
      <c r="E27" s="30">
        <f>SUM(E12:E26)</f>
        <v>0</v>
      </c>
      <c r="F27" s="30"/>
      <c r="G27" s="30">
        <f>SUM(G12:G26)</f>
        <v>40315.629999999997</v>
      </c>
      <c r="H27" s="30">
        <f>SUM(H12:H26)</f>
        <v>0</v>
      </c>
      <c r="I27" s="30">
        <f>SUM(I12:I26)</f>
        <v>17583.22</v>
      </c>
      <c r="J27" s="30">
        <f>SUM(J12:J26)</f>
        <v>7851.8399999999992</v>
      </c>
      <c r="K27" s="30">
        <f>SUM(K12:K26)</f>
        <v>65750.689999999988</v>
      </c>
      <c r="L27" s="30">
        <f>SUM(L12:L26)</f>
        <v>2217.3596499999999</v>
      </c>
      <c r="M27" s="30">
        <f>SUM(M12:M26)</f>
        <v>1136.3915000000002</v>
      </c>
      <c r="N27" s="30">
        <f>SUM(N12:N26)</f>
        <v>1457.8997000000002</v>
      </c>
      <c r="O27" s="30">
        <f>SUM(O12:O26)</f>
        <v>0</v>
      </c>
      <c r="P27" s="30">
        <f>SUM(P12:P26)</f>
        <v>5241.0319000000009</v>
      </c>
      <c r="Q27" s="30">
        <f>SUM(Q12:Q26)</f>
        <v>3675.2593500000012</v>
      </c>
      <c r="R27" s="30">
        <f>SUM(R12:R26)</f>
        <v>62075.430650000009</v>
      </c>
      <c r="S27" s="30">
        <f>SUM(S12:S26)</f>
        <v>9818.67</v>
      </c>
      <c r="T27" s="30">
        <f>SUM(T12:T26)</f>
        <v>52256.760650000004</v>
      </c>
    </row>
    <row r="28" spans="1:20" x14ac:dyDescent="0.2">
      <c r="A28" s="31"/>
      <c r="B28" s="31"/>
      <c r="C28" s="32"/>
      <c r="D28" s="32"/>
      <c r="E28" s="31"/>
      <c r="F28" s="31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  <c r="T28" s="33"/>
    </row>
    <row r="29" spans="1:20" x14ac:dyDescent="0.2">
      <c r="L29" s="35"/>
      <c r="M29" s="35"/>
      <c r="R29" s="4"/>
      <c r="T29" s="2"/>
    </row>
    <row r="30" spans="1:20" x14ac:dyDescent="0.2">
      <c r="R30" s="4"/>
      <c r="T30" s="2"/>
    </row>
    <row r="31" spans="1:20" x14ac:dyDescent="0.2">
      <c r="P31" s="37"/>
      <c r="S31" s="38"/>
      <c r="T31" s="32"/>
    </row>
    <row r="32" spans="1:20" x14ac:dyDescent="0.2">
      <c r="T32" s="2"/>
    </row>
    <row r="33" spans="16:20" x14ac:dyDescent="0.2">
      <c r="P33" s="36"/>
      <c r="T33" s="2"/>
    </row>
  </sheetData>
  <mergeCells count="5">
    <mergeCell ref="A5:Q5"/>
    <mergeCell ref="A6:Q6"/>
    <mergeCell ref="A8:Q8"/>
    <mergeCell ref="H10:J10"/>
    <mergeCell ref="L10:P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Bismark_Mensah</dc:creator>
  <cp:lastModifiedBy>Bismark_Mensah</cp:lastModifiedBy>
  <dcterms:created xsi:type="dcterms:W3CDTF">2026-02-24T13:19:40Z</dcterms:created>
  <dcterms:modified xsi:type="dcterms:W3CDTF">2026-02-24T14:12:10Z</dcterms:modified>
</cp:coreProperties>
</file>