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E3D31CB-EEDE-42C5-B92F-601ED20DBEC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EBTOR BALANCES" sheetId="1" r:id="rId1"/>
    <sheet name="CREDITOR BALANCES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9" i="2" l="1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103" i="2" s="1"/>
  <c r="B29" i="1" l="1"/>
  <c r="B28" i="1"/>
  <c r="B27" i="1"/>
  <c r="B26" i="1"/>
  <c r="B25" i="1"/>
  <c r="B24" i="1"/>
  <c r="B22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31" i="1" s="1"/>
</calcChain>
</file>

<file path=xl/sharedStrings.xml><?xml version="1.0" encoding="utf-8"?>
<sst xmlns="http://schemas.openxmlformats.org/spreadsheetml/2006/main" count="128" uniqueCount="128">
  <si>
    <t>PRIMECARE MEDICAL CENTRE LIMITED</t>
  </si>
  <si>
    <t>DEBTORS POSITION AS AT DECEMBER 31,2025</t>
  </si>
  <si>
    <t>GHC</t>
  </si>
  <si>
    <t>Acacia Health Insurance</t>
  </si>
  <si>
    <t>Ace Medical Insurance</t>
  </si>
  <si>
    <t>Anointed Electricals Limited</t>
  </si>
  <si>
    <t>Apex Health Insurance</t>
  </si>
  <si>
    <t>Assemblies Of God</t>
  </si>
  <si>
    <t>Asuogyaman Company Limited</t>
  </si>
  <si>
    <t>Calvary Baptist Church</t>
  </si>
  <si>
    <t>Cosmopolitan Health Insurance</t>
  </si>
  <si>
    <t>Electricity Company of Ghana</t>
  </si>
  <si>
    <t>Equity Health Insurance</t>
  </si>
  <si>
    <t>GAB Health Insurance Company Ltd</t>
  </si>
  <si>
    <t>Ghana Comm. Tech. University</t>
  </si>
  <si>
    <t>Glico Health</t>
  </si>
  <si>
    <t>Kofata Motors LTD</t>
  </si>
  <si>
    <t>Metropolitan Health Insurance</t>
  </si>
  <si>
    <t>John Peter Amewu</t>
  </si>
  <si>
    <t>Wiafe Asante</t>
  </si>
  <si>
    <t>Nationwide Medical Insurance</t>
  </si>
  <si>
    <t>Phoenix Health Insurance</t>
  </si>
  <si>
    <t>Premier Health Insurance</t>
  </si>
  <si>
    <t>Calbank PLC</t>
  </si>
  <si>
    <t>Lex Praxis Incorporated</t>
  </si>
  <si>
    <t>OceanAir Logistics &amp; Supply LTD</t>
  </si>
  <si>
    <t>Minerals Income Investment Fund</t>
  </si>
  <si>
    <t>Accra Great Olympics Fc</t>
  </si>
  <si>
    <t>Total</t>
  </si>
  <si>
    <t>AASH Link Enterprise</t>
  </si>
  <si>
    <t>ADDPHARMA  Ghana LTD</t>
  </si>
  <si>
    <t>Alpha Duo Pharma LTD</t>
  </si>
  <si>
    <t>Anne Nmezi</t>
  </si>
  <si>
    <t>Ark Life Sciences LTD</t>
  </si>
  <si>
    <t>A. G. WATAS COMPANY LTD.</t>
  </si>
  <si>
    <t>Bedita Pharmaceuticlas LTD</t>
  </si>
  <si>
    <t>Biofem Ghana LTD</t>
  </si>
  <si>
    <t>CAPA Chemist LTD</t>
  </si>
  <si>
    <t>Good Example Pharmacy</t>
  </si>
  <si>
    <t>Centillion Pharma LTD</t>
  </si>
  <si>
    <t>Champion Global Gh. LTD</t>
  </si>
  <si>
    <t>Codix Healthcare</t>
  </si>
  <si>
    <t>COSTCO</t>
  </si>
  <si>
    <t>CVS Pharmacy</t>
  </si>
  <si>
    <t>Cyclocor Ghana LTD</t>
  </si>
  <si>
    <t>DHEERAJ MEDICALS</t>
  </si>
  <si>
    <t>Eckcentric Health Service</t>
  </si>
  <si>
    <t>Ernest Chemist LTD</t>
  </si>
  <si>
    <t>GR Industries LTD</t>
  </si>
  <si>
    <t>GLPL Ghana LTD</t>
  </si>
  <si>
    <t>Gokals LTD</t>
  </si>
  <si>
    <t>Greeny MINT</t>
  </si>
  <si>
    <t>HFOCUS Pharma</t>
  </si>
  <si>
    <t>Interpharma LTD</t>
  </si>
  <si>
    <t>Jos Pharmaceuticals Co.LTD</t>
  </si>
  <si>
    <t>Joshbee Ventures</t>
  </si>
  <si>
    <t>Kinapharma Ghana LTD</t>
  </si>
  <si>
    <t>M &amp; G Pharmaceuticals LTD</t>
  </si>
  <si>
    <t>Mcbons Company LTD</t>
  </si>
  <si>
    <t>Kripa Pharma Ltd</t>
  </si>
  <si>
    <t>MDS Lancet LTD</t>
  </si>
  <si>
    <t>Mega Life Sciences</t>
  </si>
  <si>
    <t>Metropolis</t>
  </si>
  <si>
    <t>mPharma LTD</t>
  </si>
  <si>
    <t>New Page Chemist</t>
  </si>
  <si>
    <t>Neslaw Tabs</t>
  </si>
  <si>
    <t>Osons Chemist LTD</t>
  </si>
  <si>
    <t>Panacea Pharmaceuticals</t>
  </si>
  <si>
    <t>Pharmanova LTD</t>
  </si>
  <si>
    <t>Phillips Pharmaceuticals LTD</t>
  </si>
  <si>
    <t>Pillcare Pharmacy</t>
  </si>
  <si>
    <t>Ridoc Pharmacy</t>
  </si>
  <si>
    <t>Rinnell Pharmacy LTD</t>
  </si>
  <si>
    <t>Rostrum Pharmacy Limited</t>
  </si>
  <si>
    <t>Rodarch Pharm</t>
  </si>
  <si>
    <t>SPAL Liquid Soap/Deterg</t>
  </si>
  <si>
    <t>Shalina Healthcare Ghana</t>
  </si>
  <si>
    <t>Tobinco Pharmaceuticals LTD</t>
  </si>
  <si>
    <t>Unichem Ghana LTD</t>
  </si>
  <si>
    <t>Unicom Ghana LTD</t>
  </si>
  <si>
    <t>Vine Medics LTD</t>
  </si>
  <si>
    <t>WAAB Kingdom</t>
  </si>
  <si>
    <t>SAP HEALTH LTD</t>
  </si>
  <si>
    <t>KVTS PAL LTD</t>
  </si>
  <si>
    <t>GREENLAND MED. SUPPLIES</t>
  </si>
  <si>
    <t>EVERY DAY PHARMACY</t>
  </si>
  <si>
    <t>PNT PHARMACY LTD</t>
  </si>
  <si>
    <t>HOUSE OF MINDRAY</t>
  </si>
  <si>
    <t>2ND INNOVATION SERVICE</t>
  </si>
  <si>
    <t>STARR LIFE SCIENCES LTD</t>
  </si>
  <si>
    <t>CEDAR POINT CHEMIST LTD</t>
  </si>
  <si>
    <t>DPS GmbH LTD</t>
  </si>
  <si>
    <t>5K PHARMACEUTICALS LTD.</t>
  </si>
  <si>
    <t>PREMIER HEALTHCARE</t>
  </si>
  <si>
    <t>REELOREENS</t>
  </si>
  <si>
    <t>EMERY SANTE</t>
  </si>
  <si>
    <t>DR. AYISI</t>
  </si>
  <si>
    <t>TRUWORTH HEALTHCARE</t>
  </si>
  <si>
    <t>ATHENA HEALTHCARE LTD</t>
  </si>
  <si>
    <t>FREKADO COMPANY LTD</t>
  </si>
  <si>
    <t>PHARMATRUST LIMITED</t>
  </si>
  <si>
    <t>MAYSON PHARMACEUTICAL LTD</t>
  </si>
  <si>
    <t>B C BENCYN PHARMACY LTD</t>
  </si>
  <si>
    <t>SB CHEMIST</t>
  </si>
  <si>
    <t>ATLANTIC LIFESCIENCES</t>
  </si>
  <si>
    <t>ADEPA PHARMACEUTICALS LTD</t>
  </si>
  <si>
    <t>DOWNRIGHT COMPANY LTD</t>
  </si>
  <si>
    <t>CAPRICORN HEALTH MEDICAL</t>
  </si>
  <si>
    <t>NEUSEITE MEDITEK AND KONSULT</t>
  </si>
  <si>
    <t>DELTA PAPER MILL LIMITED</t>
  </si>
  <si>
    <t>UNISEARCH LTD</t>
  </si>
  <si>
    <t>LUCKY DEVELOPMENT LTD</t>
  </si>
  <si>
    <t>FLOKEFAMA</t>
  </si>
  <si>
    <t>SIX STARS PHARMACY LTD</t>
  </si>
  <si>
    <t>RAPID IMPROVEMENT PHARM.</t>
  </si>
  <si>
    <t>HISWAY SURGICAL</t>
  </si>
  <si>
    <t>NEWNESSCARE LIMITED</t>
  </si>
  <si>
    <t>ALOS PARAKLET HEALTHCARE</t>
  </si>
  <si>
    <t>ARTEMIS SCIENCES LTD</t>
  </si>
  <si>
    <t>TOP UP PHARMACY</t>
  </si>
  <si>
    <t>MAXMED ENTERPRISE</t>
  </si>
  <si>
    <t>ESKAY THERAPEUTICS LTD</t>
  </si>
  <si>
    <t>WONDAMED</t>
  </si>
  <si>
    <t>AJAALA VENTURES</t>
  </si>
  <si>
    <t>UNICARE CHEMIST PHARMACEUT.</t>
  </si>
  <si>
    <t>ALLDRUGS PHARMACY LTD</t>
  </si>
  <si>
    <t>TOTAL</t>
  </si>
  <si>
    <t>SUMMARY REPORT OF CREDITORS AS AT DECEMBER 31,2025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</si>
</sst>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2" xfId="0" applyFont="1" applyBorder="1"/>
    <xf numFmtId="43" fontId="4" fillId="0" borderId="3" xfId="0" applyNumberFormat="1" applyFont="1" applyBorder="1"/>
    <xf numFmtId="0" fontId="4" fillId="0" borderId="4" xfId="0" applyFont="1" applyBorder="1"/>
    <xf numFmtId="43" fontId="4" fillId="0" borderId="5" xfId="0" applyNumberFormat="1" applyFont="1" applyBorder="1"/>
    <xf numFmtId="43" fontId="4" fillId="0" borderId="5" xfId="1" applyFont="1" applyBorder="1"/>
    <xf numFmtId="0" fontId="4" fillId="0" borderId="6" xfId="0" applyFont="1" applyBorder="1"/>
    <xf numFmtId="43" fontId="4" fillId="0" borderId="7" xfId="0" applyNumberFormat="1" applyFont="1" applyBorder="1"/>
    <xf numFmtId="0" fontId="4" fillId="0" borderId="8" xfId="0" applyFont="1" applyBorder="1"/>
    <xf numFmtId="43" fontId="4" fillId="0" borderId="9" xfId="0" applyNumberFormat="1" applyFont="1" applyBorder="1"/>
    <xf numFmtId="43" fontId="4" fillId="0" borderId="0" xfId="0" applyNumberFormat="1" applyFont="1"/>
    <xf numFmtId="43" fontId="3" fillId="0" borderId="10" xfId="0" applyNumberFormat="1" applyFont="1" applyBorder="1"/>
    <xf numFmtId="0" fontId="2" fillId="0" borderId="0" xfId="0" applyFont="1" applyAlignment="1">
      <alignment horizontal="right"/>
    </xf>
    <xf numFmtId="0" fontId="0" fillId="0" borderId="11" xfId="0" applyBorder="1"/>
    <xf numFmtId="43" fontId="0" fillId="0" borderId="11" xfId="0" applyNumberFormat="1" applyBorder="1"/>
    <xf numFmtId="164" fontId="0" fillId="0" borderId="11" xfId="0" applyNumberFormat="1" applyBorder="1"/>
    <xf numFmtId="0" fontId="1" fillId="0" borderId="11" xfId="0" applyFont="1" applyBorder="1"/>
    <xf numFmtId="43" fontId="0" fillId="0" borderId="0" xfId="0" applyNumberFormat="1"/>
    <xf numFmtId="0" fontId="2" fillId="0" borderId="0" xfId="0" applyFont="1"/>
    <xf numFmtId="43" fontId="2" fillId="0" borderId="1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49</xdr:row>
      <xdr:rowOff>171450</xdr:rowOff>
    </xdr:from>
    <xdr:to>
      <xdr:col>1</xdr:col>
      <xdr:colOff>19051</xdr:colOff>
      <xdr:row>50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37F87BD-4116-43AF-AB63-CC86DD36CB3A}"/>
            </a:ext>
          </a:extLst>
        </xdr:cNvPr>
        <xdr:cNvCxnSpPr/>
      </xdr:nvCxnSpPr>
      <xdr:spPr>
        <a:xfrm flipH="1">
          <a:off x="619125" y="9505950"/>
          <a:ext cx="1" cy="1905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48</xdr:row>
      <xdr:rowOff>180975</xdr:rowOff>
    </xdr:from>
    <xdr:to>
      <xdr:col>2</xdr:col>
      <xdr:colOff>19050</xdr:colOff>
      <xdr:row>49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DFDDD3E-BABA-49E1-8F9A-1513DA79C1FF}"/>
            </a:ext>
          </a:extLst>
        </xdr:cNvPr>
        <xdr:cNvCxnSpPr/>
      </xdr:nvCxnSpPr>
      <xdr:spPr>
        <a:xfrm>
          <a:off x="2790825" y="9324975"/>
          <a:ext cx="0" cy="1905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esktop\DEBTORS%20CONTROL%202025-UPDATED.xlsx" TargetMode="External"/><Relationship Id="rId1" Type="http://schemas.openxmlformats.org/officeDocument/2006/relationships/externalLinkPath" Target="DEBTORS%20CONTROL%202025-UPDAT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esktop\CREDITORS%20%20CONTROL%20ACCOUNT%20@%20DEC%2031,2025.xlsx" TargetMode="External"/><Relationship Id="rId1" Type="http://schemas.openxmlformats.org/officeDocument/2006/relationships/externalLinkPath" Target="CREDITORS%20%20CONTROL%20ACCOUNT%20@%20DEC%2031,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S"/>
      <sheetName val="COSMO RECON"/>
      <sheetName val="RECO"/>
      <sheetName val="DR AYISI - ADVANCE"/>
      <sheetName val="DEBT POSITION"/>
      <sheetName val="RECOVERIES"/>
      <sheetName val="Sheet1"/>
      <sheetName val="AGING"/>
    </sheetNames>
    <sheetDataSet>
      <sheetData sheetId="0">
        <row r="3">
          <cell r="D3">
            <v>32284.78</v>
          </cell>
        </row>
        <row r="62">
          <cell r="D62">
            <v>7446.6000000000058</v>
          </cell>
        </row>
        <row r="98">
          <cell r="D98">
            <v>10339.299999999988</v>
          </cell>
        </row>
        <row r="126">
          <cell r="D126">
            <v>45901.949999999983</v>
          </cell>
        </row>
        <row r="164">
          <cell r="D164">
            <v>4133</v>
          </cell>
        </row>
        <row r="192">
          <cell r="D192">
            <v>6070.6000000000058</v>
          </cell>
        </row>
        <row r="236">
          <cell r="D236">
            <v>10036.199999999997</v>
          </cell>
        </row>
        <row r="262">
          <cell r="D262">
            <v>30313.969999999994</v>
          </cell>
        </row>
        <row r="303">
          <cell r="D303">
            <v>404417.23</v>
          </cell>
        </row>
        <row r="353">
          <cell r="D353">
            <v>53102.960000000006</v>
          </cell>
        </row>
        <row r="393">
          <cell r="D393">
            <v>102749.49999999997</v>
          </cell>
        </row>
        <row r="442">
          <cell r="D442">
            <v>44697.890000000014</v>
          </cell>
        </row>
        <row r="478">
          <cell r="D478">
            <v>25692.44999999999</v>
          </cell>
        </row>
        <row r="527">
          <cell r="D527">
            <v>439</v>
          </cell>
        </row>
        <row r="536">
          <cell r="D536">
            <v>22724.650000000009</v>
          </cell>
        </row>
        <row r="585">
          <cell r="D585">
            <v>57922.589000000007</v>
          </cell>
        </row>
        <row r="625">
          <cell r="D625">
            <v>45719.860000000015</v>
          </cell>
        </row>
        <row r="671">
          <cell r="D671">
            <v>7191.130000000001</v>
          </cell>
        </row>
        <row r="699">
          <cell r="D699">
            <v>5926.4499999999989</v>
          </cell>
        </row>
        <row r="720">
          <cell r="D720">
            <v>0</v>
          </cell>
        </row>
        <row r="737">
          <cell r="D737">
            <v>1191.2</v>
          </cell>
        </row>
        <row r="749">
          <cell r="D74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ORS CONTROL"/>
      <sheetName val="SUMMARY - CREDITORS"/>
      <sheetName val="CREDIT PERIOD"/>
    </sheetNames>
    <sheetDataSet>
      <sheetData sheetId="0">
        <row r="5">
          <cell r="E5">
            <v>0</v>
          </cell>
        </row>
        <row r="36">
          <cell r="E36">
            <v>-45626.47000000003</v>
          </cell>
        </row>
        <row r="90">
          <cell r="E90">
            <v>0</v>
          </cell>
        </row>
        <row r="104">
          <cell r="E104">
            <v>-240</v>
          </cell>
        </row>
        <row r="118">
          <cell r="E118">
            <v>0</v>
          </cell>
        </row>
        <row r="158">
          <cell r="E158">
            <v>0</v>
          </cell>
        </row>
        <row r="172">
          <cell r="E172">
            <v>0</v>
          </cell>
        </row>
        <row r="186">
          <cell r="E186">
            <v>-2170.54</v>
          </cell>
        </row>
        <row r="200">
          <cell r="E200">
            <v>-642.95000000000005</v>
          </cell>
        </row>
        <row r="214">
          <cell r="E214">
            <v>0</v>
          </cell>
        </row>
        <row r="262">
          <cell r="E262">
            <v>0</v>
          </cell>
        </row>
        <row r="278">
          <cell r="E278">
            <v>-930.4</v>
          </cell>
        </row>
        <row r="292">
          <cell r="E292">
            <v>-2264</v>
          </cell>
        </row>
        <row r="306">
          <cell r="E306">
            <v>-36926.92</v>
          </cell>
        </row>
        <row r="320">
          <cell r="E320">
            <v>-23405</v>
          </cell>
        </row>
        <row r="334">
          <cell r="E334">
            <v>-20230</v>
          </cell>
        </row>
        <row r="348">
          <cell r="E348">
            <v>-7537.5</v>
          </cell>
        </row>
        <row r="362">
          <cell r="E362">
            <v>-117</v>
          </cell>
        </row>
        <row r="376">
          <cell r="E376">
            <v>0</v>
          </cell>
        </row>
        <row r="390">
          <cell r="E390">
            <v>-1634.06</v>
          </cell>
        </row>
        <row r="404">
          <cell r="E404">
            <v>-254</v>
          </cell>
        </row>
        <row r="418">
          <cell r="E418">
            <v>0</v>
          </cell>
        </row>
        <row r="432">
          <cell r="E432">
            <v>0</v>
          </cell>
        </row>
        <row r="446">
          <cell r="E446">
            <v>0</v>
          </cell>
        </row>
        <row r="460">
          <cell r="E460">
            <v>0</v>
          </cell>
        </row>
        <row r="474">
          <cell r="E474">
            <v>0</v>
          </cell>
        </row>
        <row r="488">
          <cell r="E488">
            <v>-22940</v>
          </cell>
        </row>
        <row r="545">
          <cell r="E545">
            <v>0</v>
          </cell>
        </row>
        <row r="579">
          <cell r="E579">
            <v>0</v>
          </cell>
        </row>
        <row r="598">
          <cell r="E598">
            <v>-9673.02</v>
          </cell>
        </row>
        <row r="613">
          <cell r="E613">
            <v>-25310</v>
          </cell>
        </row>
        <row r="628">
          <cell r="E628">
            <v>-13153.5</v>
          </cell>
        </row>
        <row r="691">
          <cell r="E691">
            <v>-2141.3200000000002</v>
          </cell>
        </row>
        <row r="705">
          <cell r="E705">
            <v>-9577.9999999999709</v>
          </cell>
        </row>
        <row r="771">
          <cell r="E771">
            <v>0</v>
          </cell>
        </row>
        <row r="797">
          <cell r="E797">
            <v>0</v>
          </cell>
        </row>
        <row r="820">
          <cell r="E820">
            <v>0</v>
          </cell>
        </row>
        <row r="835">
          <cell r="E835">
            <v>0</v>
          </cell>
        </row>
        <row r="872">
          <cell r="E872">
            <v>-3672.16</v>
          </cell>
        </row>
        <row r="886">
          <cell r="E886">
            <v>-10229</v>
          </cell>
        </row>
        <row r="915">
          <cell r="E915">
            <v>-4348.91</v>
          </cell>
        </row>
        <row r="929">
          <cell r="E929">
            <v>0</v>
          </cell>
        </row>
        <row r="943">
          <cell r="E943">
            <v>-2734.14</v>
          </cell>
        </row>
        <row r="957">
          <cell r="E957">
            <v>-1045.03</v>
          </cell>
        </row>
        <row r="971">
          <cell r="E971">
            <v>0</v>
          </cell>
        </row>
        <row r="985">
          <cell r="E985">
            <v>-12401.729999999865</v>
          </cell>
        </row>
        <row r="1099">
          <cell r="E1099">
            <v>0</v>
          </cell>
        </row>
        <row r="1113">
          <cell r="E1113">
            <v>-12142.299999999988</v>
          </cell>
        </row>
        <row r="1148">
          <cell r="E1148">
            <v>9.9999999947613105E-3</v>
          </cell>
        </row>
        <row r="1188">
          <cell r="E1188">
            <v>-24634.510000000002</v>
          </cell>
        </row>
        <row r="1216">
          <cell r="E1216">
            <v>-10584</v>
          </cell>
        </row>
        <row r="1277">
          <cell r="E1277">
            <v>-3853.8000000000029</v>
          </cell>
        </row>
        <row r="1303">
          <cell r="E1303">
            <v>0</v>
          </cell>
        </row>
        <row r="1327">
          <cell r="E1327">
            <v>0</v>
          </cell>
        </row>
        <row r="1342">
          <cell r="E1342">
            <v>0</v>
          </cell>
        </row>
        <row r="1383">
          <cell r="E1383">
            <v>0</v>
          </cell>
        </row>
        <row r="1397">
          <cell r="E1397">
            <v>-32360</v>
          </cell>
        </row>
        <row r="1460">
          <cell r="E1460">
            <v>0</v>
          </cell>
        </row>
        <row r="1488">
          <cell r="E1488">
            <v>0</v>
          </cell>
        </row>
        <row r="1503">
          <cell r="E1503">
            <v>0</v>
          </cell>
        </row>
        <row r="1577">
          <cell r="E1577">
            <v>0</v>
          </cell>
        </row>
        <row r="1592">
          <cell r="E1592">
            <v>-300</v>
          </cell>
        </row>
        <row r="1617">
          <cell r="E1617">
            <v>-69265.53</v>
          </cell>
        </row>
        <row r="1675">
          <cell r="E1675">
            <v>87.75</v>
          </cell>
        </row>
        <row r="1713">
          <cell r="E1713">
            <v>-27935</v>
          </cell>
        </row>
        <row r="1774">
          <cell r="E1774">
            <v>0</v>
          </cell>
        </row>
        <row r="1801">
          <cell r="E1801">
            <v>0</v>
          </cell>
        </row>
        <row r="1830">
          <cell r="E1830">
            <v>0</v>
          </cell>
        </row>
        <row r="1865">
          <cell r="E1865">
            <v>-15689.560000000027</v>
          </cell>
        </row>
        <row r="1903">
          <cell r="E1903">
            <v>0</v>
          </cell>
        </row>
        <row r="1922">
          <cell r="E1922">
            <v>0</v>
          </cell>
        </row>
        <row r="1951">
          <cell r="E1951">
            <v>-5850</v>
          </cell>
        </row>
        <row r="1965">
          <cell r="E1965">
            <v>-3775</v>
          </cell>
        </row>
        <row r="1980">
          <cell r="E1980">
            <v>-21000</v>
          </cell>
        </row>
        <row r="2012">
          <cell r="E2012">
            <v>0</v>
          </cell>
        </row>
        <row r="2026">
          <cell r="E2026">
            <v>0</v>
          </cell>
        </row>
        <row r="2043">
          <cell r="E2043">
            <v>-4924.5999999999985</v>
          </cell>
        </row>
        <row r="2069">
          <cell r="E2069">
            <v>-1783.3970000000045</v>
          </cell>
        </row>
        <row r="2096">
          <cell r="E2096">
            <v>0</v>
          </cell>
        </row>
        <row r="2111">
          <cell r="E2111">
            <v>0</v>
          </cell>
        </row>
        <row r="2125">
          <cell r="E2125">
            <v>0</v>
          </cell>
        </row>
        <row r="2147">
          <cell r="E2147">
            <v>-1178</v>
          </cell>
        </row>
        <row r="2167">
          <cell r="E2167">
            <v>0</v>
          </cell>
        </row>
        <row r="2185">
          <cell r="E2185">
            <v>0</v>
          </cell>
        </row>
        <row r="2200">
          <cell r="E2200">
            <v>-23870</v>
          </cell>
        </row>
        <row r="2214">
          <cell r="E2214">
            <v>-2250</v>
          </cell>
        </row>
        <row r="2229">
          <cell r="E2229">
            <v>-3149.9999999999982</v>
          </cell>
        </row>
        <row r="2251">
          <cell r="E2251">
            <v>0</v>
          </cell>
        </row>
        <row r="2266">
          <cell r="E2266">
            <v>-2600</v>
          </cell>
        </row>
        <row r="2281">
          <cell r="E2281">
            <v>-3900</v>
          </cell>
        </row>
        <row r="2295">
          <cell r="E2295">
            <v>-1600</v>
          </cell>
        </row>
        <row r="2315">
          <cell r="E2315">
            <v>-20067.530000000006</v>
          </cell>
        </row>
        <row r="2330">
          <cell r="E2330">
            <v>0</v>
          </cell>
        </row>
        <row r="2345">
          <cell r="E2345">
            <v>-7610.82</v>
          </cell>
        </row>
        <row r="2359">
          <cell r="E2359">
            <v>0</v>
          </cell>
        </row>
        <row r="2373">
          <cell r="E2373">
            <v>0</v>
          </cell>
        </row>
        <row r="2399">
          <cell r="E2399">
            <v>41216.93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opLeftCell="A21" workbookViewId="0">
      <selection activeCell="B41" sqref="B41"/>
    </sheetView>
  </sheetViews>
  <sheetFormatPr defaultRowHeight="15" x14ac:dyDescent="0.25"/>
  <cols>
    <col min="1" max="1" width="51.42578125" customWidth="1"/>
    <col min="2" max="2" width="15.85546875" customWidth="1"/>
  </cols>
  <sheetData>
    <row r="1" spans="1:2" x14ac:dyDescent="0.25">
      <c r="A1" s="1" t="s">
        <v>0</v>
      </c>
      <c r="B1" s="2"/>
    </row>
    <row r="2" spans="1:2" x14ac:dyDescent="0.25">
      <c r="A2" s="1"/>
      <c r="B2" s="2"/>
    </row>
    <row r="3" spans="1:2" ht="15.75" thickBot="1" x14ac:dyDescent="0.3">
      <c r="A3" s="3" t="s">
        <v>1</v>
      </c>
      <c r="B3" s="4"/>
    </row>
    <row r="4" spans="1:2" ht="16.5" thickTop="1" thickBot="1" x14ac:dyDescent="0.3">
      <c r="A4" s="1"/>
      <c r="B4" s="4" t="s">
        <v>2</v>
      </c>
    </row>
    <row r="5" spans="1:2" x14ac:dyDescent="0.25">
      <c r="A5" s="5" t="s">
        <v>3</v>
      </c>
      <c r="B5" s="6">
        <f>[1]CONTROLS!D3</f>
        <v>32284.78</v>
      </c>
    </row>
    <row r="6" spans="1:2" x14ac:dyDescent="0.25">
      <c r="A6" s="7" t="s">
        <v>4</v>
      </c>
      <c r="B6" s="8">
        <f>[1]CONTROLS!D62</f>
        <v>7446.6000000000058</v>
      </c>
    </row>
    <row r="7" spans="1:2" x14ac:dyDescent="0.25">
      <c r="A7" s="7" t="s">
        <v>5</v>
      </c>
      <c r="B7" s="8">
        <f>[1]CONTROLS!D98</f>
        <v>10339.299999999988</v>
      </c>
    </row>
    <row r="8" spans="1:2" x14ac:dyDescent="0.25">
      <c r="A8" s="7" t="s">
        <v>6</v>
      </c>
      <c r="B8" s="8">
        <f>[1]CONTROLS!D126</f>
        <v>45901.949999999983</v>
      </c>
    </row>
    <row r="9" spans="1:2" x14ac:dyDescent="0.25">
      <c r="A9" s="7" t="s">
        <v>7</v>
      </c>
      <c r="B9" s="8">
        <f>[1]CONTROLS!D164</f>
        <v>4133</v>
      </c>
    </row>
    <row r="10" spans="1:2" x14ac:dyDescent="0.25">
      <c r="A10" s="7" t="s">
        <v>8</v>
      </c>
      <c r="B10" s="8">
        <f>[1]CONTROLS!D192</f>
        <v>6070.6000000000058</v>
      </c>
    </row>
    <row r="11" spans="1:2" x14ac:dyDescent="0.25">
      <c r="A11" s="7" t="s">
        <v>9</v>
      </c>
      <c r="B11" s="8">
        <f>[1]CONTROLS!D236</f>
        <v>10036.199999999997</v>
      </c>
    </row>
    <row r="12" spans="1:2" x14ac:dyDescent="0.25">
      <c r="A12" s="7" t="s">
        <v>10</v>
      </c>
      <c r="B12" s="8">
        <f>[1]CONTROLS!D262</f>
        <v>30313.969999999994</v>
      </c>
    </row>
    <row r="13" spans="1:2" x14ac:dyDescent="0.25">
      <c r="A13" s="7" t="s">
        <v>11</v>
      </c>
      <c r="B13" s="8">
        <f>[1]CONTROLS!D303</f>
        <v>404417.23</v>
      </c>
    </row>
    <row r="14" spans="1:2" x14ac:dyDescent="0.25">
      <c r="A14" s="7" t="s">
        <v>12</v>
      </c>
      <c r="B14" s="8">
        <f>[1]CONTROLS!D353</f>
        <v>53102.960000000006</v>
      </c>
    </row>
    <row r="15" spans="1:2" x14ac:dyDescent="0.25">
      <c r="A15" s="7" t="s">
        <v>13</v>
      </c>
      <c r="B15" s="8">
        <f>[1]CONTROLS!D393</f>
        <v>102749.49999999997</v>
      </c>
    </row>
    <row r="16" spans="1:2" x14ac:dyDescent="0.25">
      <c r="A16" s="7" t="s">
        <v>14</v>
      </c>
      <c r="B16" s="8">
        <f>[1]CONTROLS!D442</f>
        <v>44697.890000000014</v>
      </c>
    </row>
    <row r="17" spans="1:2" x14ac:dyDescent="0.25">
      <c r="A17" s="7" t="s">
        <v>15</v>
      </c>
      <c r="B17" s="8">
        <f>[1]CONTROLS!D478</f>
        <v>25692.44999999999</v>
      </c>
    </row>
    <row r="18" spans="1:2" x14ac:dyDescent="0.25">
      <c r="A18" s="7" t="s">
        <v>16</v>
      </c>
      <c r="B18" s="8">
        <f>[1]CONTROLS!D527</f>
        <v>439</v>
      </c>
    </row>
    <row r="19" spans="1:2" x14ac:dyDescent="0.25">
      <c r="A19" s="7" t="s">
        <v>17</v>
      </c>
      <c r="B19" s="8">
        <f>[1]CONTROLS!D536</f>
        <v>22724.650000000009</v>
      </c>
    </row>
    <row r="20" spans="1:2" x14ac:dyDescent="0.25">
      <c r="A20" s="7" t="s">
        <v>18</v>
      </c>
      <c r="B20" s="8">
        <v>0</v>
      </c>
    </row>
    <row r="21" spans="1:2" x14ac:dyDescent="0.25">
      <c r="A21" s="7" t="s">
        <v>19</v>
      </c>
      <c r="B21" s="9">
        <v>0</v>
      </c>
    </row>
    <row r="22" spans="1:2" x14ac:dyDescent="0.25">
      <c r="A22" s="7" t="s">
        <v>20</v>
      </c>
      <c r="B22" s="8">
        <f>[1]CONTROLS!D585</f>
        <v>57922.589000000007</v>
      </c>
    </row>
    <row r="23" spans="1:2" x14ac:dyDescent="0.25">
      <c r="A23" s="7" t="s">
        <v>21</v>
      </c>
      <c r="B23" s="8">
        <v>0</v>
      </c>
    </row>
    <row r="24" spans="1:2" x14ac:dyDescent="0.25">
      <c r="A24" s="7" t="s">
        <v>22</v>
      </c>
      <c r="B24" s="8">
        <f>[1]CONTROLS!D625</f>
        <v>45719.860000000015</v>
      </c>
    </row>
    <row r="25" spans="1:2" x14ac:dyDescent="0.25">
      <c r="A25" s="10" t="s">
        <v>23</v>
      </c>
      <c r="B25" s="11">
        <f>[1]CONTROLS!D699</f>
        <v>5926.4499999999989</v>
      </c>
    </row>
    <row r="26" spans="1:2" x14ac:dyDescent="0.25">
      <c r="A26" s="10" t="s">
        <v>24</v>
      </c>
      <c r="B26" s="11">
        <f>[1]CONTROLS!D720</f>
        <v>0</v>
      </c>
    </row>
    <row r="27" spans="1:2" x14ac:dyDescent="0.25">
      <c r="A27" s="10" t="s">
        <v>25</v>
      </c>
      <c r="B27" s="11">
        <f>[1]CONTROLS!D737</f>
        <v>1191.2</v>
      </c>
    </row>
    <row r="28" spans="1:2" x14ac:dyDescent="0.25">
      <c r="A28" s="10" t="s">
        <v>26</v>
      </c>
      <c r="B28" s="11">
        <f>+[1]CONTROLS!D749</f>
        <v>0</v>
      </c>
    </row>
    <row r="29" spans="1:2" ht="15.75" thickBot="1" x14ac:dyDescent="0.3">
      <c r="A29" s="12" t="s">
        <v>27</v>
      </c>
      <c r="B29" s="13">
        <f>[1]CONTROLS!D671</f>
        <v>7191.130000000001</v>
      </c>
    </row>
    <row r="30" spans="1:2" x14ac:dyDescent="0.25">
      <c r="A30" s="2"/>
      <c r="B30" s="14"/>
    </row>
    <row r="31" spans="1:2" ht="15.75" thickBot="1" x14ac:dyDescent="0.3">
      <c r="A31" s="1" t="s">
        <v>28</v>
      </c>
      <c r="B31" s="15">
        <f>SUM(B5:B29)</f>
        <v>918301.30899999978</v>
      </c>
    </row>
    <row r="32" spans="1:2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2FDC-2BF5-4777-AE43-A083249151BF}">
  <dimension ref="A1:C103"/>
  <sheetViews>
    <sheetView tabSelected="1" topLeftCell="A95" workbookViewId="0">
      <selection activeCell="G108" sqref="G108"/>
    </sheetView>
  </sheetViews>
  <sheetFormatPr defaultRowHeight="15" x14ac:dyDescent="0.25"/>
  <cols>
    <col min="1" max="1" width="13.42578125" customWidth="1"/>
    <col min="2" max="2" width="31.140625" bestFit="1" customWidth="1"/>
    <col min="3" max="3" width="17.5703125" customWidth="1"/>
  </cols>
  <sheetData>
    <row r="1" spans="1:3" x14ac:dyDescent="0.25">
      <c r="A1" s="16" t="s">
        <v>127</v>
      </c>
      <c r="B1" s="16"/>
      <c r="C1" s="16"/>
    </row>
    <row r="3" spans="1:3" x14ac:dyDescent="0.25">
      <c r="B3" s="17" t="s">
        <v>29</v>
      </c>
      <c r="C3" s="18">
        <f>'[2]CREDITORS CONTROL'!E5</f>
        <v>0</v>
      </c>
    </row>
    <row r="4" spans="1:3" x14ac:dyDescent="0.25">
      <c r="B4" s="17" t="s">
        <v>30</v>
      </c>
      <c r="C4" s="18">
        <f>'[2]CREDITORS CONTROL'!E36</f>
        <v>-45626.47000000003</v>
      </c>
    </row>
    <row r="5" spans="1:3" x14ac:dyDescent="0.25">
      <c r="B5" s="17" t="s">
        <v>31</v>
      </c>
      <c r="C5" s="18">
        <f>'[2]CREDITORS CONTROL'!E90</f>
        <v>0</v>
      </c>
    </row>
    <row r="6" spans="1:3" x14ac:dyDescent="0.25">
      <c r="B6" s="17" t="s">
        <v>32</v>
      </c>
      <c r="C6" s="18">
        <f>'[2]CREDITORS CONTROL'!E104</f>
        <v>-240</v>
      </c>
    </row>
    <row r="7" spans="1:3" x14ac:dyDescent="0.25">
      <c r="B7" s="17" t="s">
        <v>33</v>
      </c>
      <c r="C7" s="18">
        <f>'[2]CREDITORS CONTROL'!E118</f>
        <v>0</v>
      </c>
    </row>
    <row r="8" spans="1:3" x14ac:dyDescent="0.25">
      <c r="B8" s="17" t="s">
        <v>34</v>
      </c>
      <c r="C8" s="18">
        <f>'[2]CREDITORS CONTROL'!E158</f>
        <v>0</v>
      </c>
    </row>
    <row r="9" spans="1:3" x14ac:dyDescent="0.25">
      <c r="B9" s="17" t="s">
        <v>35</v>
      </c>
      <c r="C9" s="18">
        <f>'[2]CREDITORS CONTROL'!E172</f>
        <v>0</v>
      </c>
    </row>
    <row r="10" spans="1:3" x14ac:dyDescent="0.25">
      <c r="B10" s="17" t="s">
        <v>36</v>
      </c>
      <c r="C10" s="18">
        <f>'[2]CREDITORS CONTROL'!E186</f>
        <v>-2170.54</v>
      </c>
    </row>
    <row r="11" spans="1:3" x14ac:dyDescent="0.25">
      <c r="B11" s="17" t="s">
        <v>37</v>
      </c>
      <c r="C11" s="18">
        <f>'[2]CREDITORS CONTROL'!E200</f>
        <v>-642.95000000000005</v>
      </c>
    </row>
    <row r="12" spans="1:3" x14ac:dyDescent="0.25">
      <c r="B12" s="19" t="s">
        <v>38</v>
      </c>
      <c r="C12" s="18">
        <f>'[2]CREDITORS CONTROL'!E214</f>
        <v>0</v>
      </c>
    </row>
    <row r="13" spans="1:3" x14ac:dyDescent="0.25">
      <c r="B13" s="17" t="s">
        <v>39</v>
      </c>
      <c r="C13" s="18">
        <f>'[2]CREDITORS CONTROL'!E262</f>
        <v>0</v>
      </c>
    </row>
    <row r="14" spans="1:3" x14ac:dyDescent="0.25">
      <c r="B14" s="17" t="s">
        <v>40</v>
      </c>
      <c r="C14" s="18">
        <f>'[2]CREDITORS CONTROL'!E278</f>
        <v>-930.4</v>
      </c>
    </row>
    <row r="15" spans="1:3" x14ac:dyDescent="0.25">
      <c r="B15" s="17" t="s">
        <v>41</v>
      </c>
      <c r="C15" s="18">
        <f>'[2]CREDITORS CONTROL'!E292</f>
        <v>-2264</v>
      </c>
    </row>
    <row r="16" spans="1:3" x14ac:dyDescent="0.25">
      <c r="B16" s="17" t="s">
        <v>42</v>
      </c>
      <c r="C16" s="18">
        <f>'[2]CREDITORS CONTROL'!E306</f>
        <v>-36926.92</v>
      </c>
    </row>
    <row r="17" spans="2:3" x14ac:dyDescent="0.25">
      <c r="B17" s="17" t="s">
        <v>43</v>
      </c>
      <c r="C17" s="18">
        <f>'[2]CREDITORS CONTROL'!E320</f>
        <v>-23405</v>
      </c>
    </row>
    <row r="18" spans="2:3" x14ac:dyDescent="0.25">
      <c r="B18" s="17" t="s">
        <v>44</v>
      </c>
      <c r="C18" s="18">
        <f>'[2]CREDITORS CONTROL'!E334</f>
        <v>-20230</v>
      </c>
    </row>
    <row r="19" spans="2:3" x14ac:dyDescent="0.25">
      <c r="B19" s="19" t="s">
        <v>45</v>
      </c>
      <c r="C19" s="18">
        <f>'[2]CREDITORS CONTROL'!E348</f>
        <v>-7537.5</v>
      </c>
    </row>
    <row r="20" spans="2:3" x14ac:dyDescent="0.25">
      <c r="B20" s="17" t="s">
        <v>46</v>
      </c>
      <c r="C20" s="18">
        <f>'[2]CREDITORS CONTROL'!E362</f>
        <v>-117</v>
      </c>
    </row>
    <row r="21" spans="2:3" x14ac:dyDescent="0.25">
      <c r="B21" s="17" t="s">
        <v>47</v>
      </c>
      <c r="C21" s="18">
        <f>'[2]CREDITORS CONTROL'!E376</f>
        <v>0</v>
      </c>
    </row>
    <row r="22" spans="2:3" x14ac:dyDescent="0.25">
      <c r="B22" s="17" t="s">
        <v>48</v>
      </c>
      <c r="C22" s="18">
        <f>'[2]CREDITORS CONTROL'!E390</f>
        <v>-1634.06</v>
      </c>
    </row>
    <row r="23" spans="2:3" x14ac:dyDescent="0.25">
      <c r="B23" s="17" t="s">
        <v>49</v>
      </c>
      <c r="C23" s="18">
        <f>'[2]CREDITORS CONTROL'!E404</f>
        <v>-254</v>
      </c>
    </row>
    <row r="24" spans="2:3" x14ac:dyDescent="0.25">
      <c r="B24" s="17" t="s">
        <v>50</v>
      </c>
      <c r="C24" s="18">
        <f>'[2]CREDITORS CONTROL'!E418</f>
        <v>0</v>
      </c>
    </row>
    <row r="25" spans="2:3" x14ac:dyDescent="0.25">
      <c r="B25" s="17" t="s">
        <v>51</v>
      </c>
      <c r="C25" s="18">
        <f>-'[2]CREDITORS CONTROL'!E432</f>
        <v>0</v>
      </c>
    </row>
    <row r="26" spans="2:3" x14ac:dyDescent="0.25">
      <c r="B26" s="17" t="s">
        <v>52</v>
      </c>
      <c r="C26" s="18">
        <f>-'[2]CREDITORS CONTROL'!E446</f>
        <v>0</v>
      </c>
    </row>
    <row r="27" spans="2:3" x14ac:dyDescent="0.25">
      <c r="B27" s="17" t="s">
        <v>53</v>
      </c>
      <c r="C27" s="18">
        <f>-'[2]CREDITORS CONTROL'!E460</f>
        <v>0</v>
      </c>
    </row>
    <row r="28" spans="2:3" x14ac:dyDescent="0.25">
      <c r="B28" s="17" t="s">
        <v>54</v>
      </c>
      <c r="C28" s="18">
        <f>'[2]CREDITORS CONTROL'!E474</f>
        <v>0</v>
      </c>
    </row>
    <row r="29" spans="2:3" x14ac:dyDescent="0.25">
      <c r="B29" s="17" t="s">
        <v>55</v>
      </c>
      <c r="C29" s="18">
        <f>'[2]CREDITORS CONTROL'!E488</f>
        <v>-22940</v>
      </c>
    </row>
    <row r="30" spans="2:3" x14ac:dyDescent="0.25">
      <c r="B30" s="17" t="s">
        <v>56</v>
      </c>
      <c r="C30" s="18">
        <f>'[2]CREDITORS CONTROL'!E545</f>
        <v>0</v>
      </c>
    </row>
    <row r="31" spans="2:3" x14ac:dyDescent="0.25">
      <c r="B31" s="17" t="s">
        <v>57</v>
      </c>
      <c r="C31" s="18">
        <f>'[2]CREDITORS CONTROL'!E579</f>
        <v>0</v>
      </c>
    </row>
    <row r="32" spans="2:3" x14ac:dyDescent="0.25">
      <c r="B32" s="17" t="s">
        <v>58</v>
      </c>
      <c r="C32" s="18">
        <f>'[2]CREDITORS CONTROL'!E598</f>
        <v>-9673.02</v>
      </c>
    </row>
    <row r="33" spans="2:3" x14ac:dyDescent="0.25">
      <c r="B33" s="17" t="s">
        <v>59</v>
      </c>
      <c r="C33" s="18">
        <f>'[2]CREDITORS CONTROL'!E613</f>
        <v>-25310</v>
      </c>
    </row>
    <row r="34" spans="2:3" x14ac:dyDescent="0.25">
      <c r="B34" s="17" t="s">
        <v>60</v>
      </c>
      <c r="C34" s="18">
        <f>'[2]CREDITORS CONTROL'!E628</f>
        <v>-13153.5</v>
      </c>
    </row>
    <row r="35" spans="2:3" x14ac:dyDescent="0.25">
      <c r="B35" s="17" t="s">
        <v>61</v>
      </c>
      <c r="C35" s="18">
        <f>'[2]CREDITORS CONTROL'!E691</f>
        <v>-2141.3200000000002</v>
      </c>
    </row>
    <row r="36" spans="2:3" x14ac:dyDescent="0.25">
      <c r="B36" s="17" t="s">
        <v>62</v>
      </c>
      <c r="C36" s="18">
        <f>'[2]CREDITORS CONTROL'!E705</f>
        <v>-9577.9999999999709</v>
      </c>
    </row>
    <row r="37" spans="2:3" x14ac:dyDescent="0.25">
      <c r="B37" s="17" t="s">
        <v>63</v>
      </c>
      <c r="C37" s="18">
        <f>'[2]CREDITORS CONTROL'!E771</f>
        <v>0</v>
      </c>
    </row>
    <row r="38" spans="2:3" x14ac:dyDescent="0.25">
      <c r="B38" s="17" t="s">
        <v>64</v>
      </c>
      <c r="C38" s="18">
        <f>-'[2]CREDITORS CONTROL'!E797</f>
        <v>0</v>
      </c>
    </row>
    <row r="39" spans="2:3" x14ac:dyDescent="0.25">
      <c r="B39" s="17" t="s">
        <v>65</v>
      </c>
      <c r="C39" s="18">
        <f>'[2]CREDITORS CONTROL'!E820</f>
        <v>0</v>
      </c>
    </row>
    <row r="40" spans="2:3" x14ac:dyDescent="0.25">
      <c r="B40" s="17" t="s">
        <v>66</v>
      </c>
      <c r="C40" s="18">
        <f>'[2]CREDITORS CONTROL'!E835</f>
        <v>0</v>
      </c>
    </row>
    <row r="41" spans="2:3" x14ac:dyDescent="0.25">
      <c r="B41" s="17" t="s">
        <v>67</v>
      </c>
      <c r="C41" s="18">
        <f>'[2]CREDITORS CONTROL'!E872</f>
        <v>-3672.16</v>
      </c>
    </row>
    <row r="42" spans="2:3" x14ac:dyDescent="0.25">
      <c r="B42" s="17" t="s">
        <v>68</v>
      </c>
      <c r="C42" s="18">
        <f>'[2]CREDITORS CONTROL'!E886</f>
        <v>-10229</v>
      </c>
    </row>
    <row r="43" spans="2:3" x14ac:dyDescent="0.25">
      <c r="B43" s="17" t="s">
        <v>69</v>
      </c>
      <c r="C43" s="18">
        <f>'[2]CREDITORS CONTROL'!E915</f>
        <v>-4348.91</v>
      </c>
    </row>
    <row r="44" spans="2:3" x14ac:dyDescent="0.25">
      <c r="B44" s="19" t="s">
        <v>70</v>
      </c>
      <c r="C44" s="18">
        <f>'[2]CREDITORS CONTROL'!E929</f>
        <v>0</v>
      </c>
    </row>
    <row r="45" spans="2:3" x14ac:dyDescent="0.25">
      <c r="B45" s="17" t="s">
        <v>71</v>
      </c>
      <c r="C45" s="18">
        <f>'[2]CREDITORS CONTROL'!E943</f>
        <v>-2734.14</v>
      </c>
    </row>
    <row r="46" spans="2:3" x14ac:dyDescent="0.25">
      <c r="B46" s="17" t="s">
        <v>72</v>
      </c>
      <c r="C46" s="18">
        <f>'[2]CREDITORS CONTROL'!E957</f>
        <v>-1045.03</v>
      </c>
    </row>
    <row r="47" spans="2:3" x14ac:dyDescent="0.25">
      <c r="B47" s="17" t="s">
        <v>73</v>
      </c>
      <c r="C47" s="18">
        <f>'[2]CREDITORS CONTROL'!E971</f>
        <v>0</v>
      </c>
    </row>
    <row r="48" spans="2:3" x14ac:dyDescent="0.25">
      <c r="B48" s="17" t="s">
        <v>74</v>
      </c>
      <c r="C48" s="18">
        <f>'[2]CREDITORS CONTROL'!E985</f>
        <v>-12401.729999999865</v>
      </c>
    </row>
    <row r="49" spans="2:3" x14ac:dyDescent="0.25">
      <c r="B49" s="17" t="s">
        <v>75</v>
      </c>
      <c r="C49" s="18">
        <f>-'[2]CREDITORS CONTROL'!E1099</f>
        <v>0</v>
      </c>
    </row>
    <row r="50" spans="2:3" x14ac:dyDescent="0.25">
      <c r="B50" s="19" t="s">
        <v>76</v>
      </c>
      <c r="C50" s="18">
        <f>'[2]CREDITORS CONTROL'!E1113</f>
        <v>-12142.299999999988</v>
      </c>
    </row>
    <row r="51" spans="2:3" x14ac:dyDescent="0.25">
      <c r="B51" s="17" t="s">
        <v>77</v>
      </c>
      <c r="C51" s="18">
        <f>'[2]CREDITORS CONTROL'!E1148</f>
        <v>9.9999999947613105E-3</v>
      </c>
    </row>
    <row r="52" spans="2:3" x14ac:dyDescent="0.25">
      <c r="B52" s="17" t="s">
        <v>78</v>
      </c>
      <c r="C52" s="18">
        <f>'[2]CREDITORS CONTROL'!E1188</f>
        <v>-24634.510000000002</v>
      </c>
    </row>
    <row r="53" spans="2:3" x14ac:dyDescent="0.25">
      <c r="B53" s="17" t="s">
        <v>79</v>
      </c>
      <c r="C53" s="18">
        <f>'[2]CREDITORS CONTROL'!E1216</f>
        <v>-10584</v>
      </c>
    </row>
    <row r="54" spans="2:3" x14ac:dyDescent="0.25">
      <c r="B54" s="17" t="s">
        <v>80</v>
      </c>
      <c r="C54" s="18">
        <f>'[2]CREDITORS CONTROL'!E1327</f>
        <v>0</v>
      </c>
    </row>
    <row r="55" spans="2:3" x14ac:dyDescent="0.25">
      <c r="B55" s="17" t="s">
        <v>81</v>
      </c>
      <c r="C55" s="18">
        <f>'[2]CREDITORS CONTROL'!E1303</f>
        <v>0</v>
      </c>
    </row>
    <row r="56" spans="2:3" x14ac:dyDescent="0.25">
      <c r="B56" s="17" t="s">
        <v>82</v>
      </c>
      <c r="C56" s="18">
        <f>'[2]CREDITORS CONTROL'!E1383</f>
        <v>0</v>
      </c>
    </row>
    <row r="57" spans="2:3" x14ac:dyDescent="0.25">
      <c r="B57" s="17" t="s">
        <v>83</v>
      </c>
      <c r="C57" s="18">
        <f>'[2]CREDITORS CONTROL'!E1397</f>
        <v>-32360</v>
      </c>
    </row>
    <row r="58" spans="2:3" x14ac:dyDescent="0.25">
      <c r="B58" s="19" t="s">
        <v>84</v>
      </c>
      <c r="C58" s="18">
        <f>'[2]CREDITORS CONTROL'!E1460</f>
        <v>0</v>
      </c>
    </row>
    <row r="59" spans="2:3" x14ac:dyDescent="0.25">
      <c r="B59" s="19" t="s">
        <v>85</v>
      </c>
      <c r="C59" s="18">
        <f>'[2]CREDITORS CONTROL'!E1488</f>
        <v>0</v>
      </c>
    </row>
    <row r="60" spans="2:3" x14ac:dyDescent="0.25">
      <c r="B60" s="19" t="s">
        <v>86</v>
      </c>
      <c r="C60" s="18">
        <f>'[2]CREDITORS CONTROL'!E1503</f>
        <v>0</v>
      </c>
    </row>
    <row r="61" spans="2:3" x14ac:dyDescent="0.25">
      <c r="B61" s="19" t="s">
        <v>87</v>
      </c>
      <c r="C61" s="18">
        <f>'[2]CREDITORS CONTROL'!E1577</f>
        <v>0</v>
      </c>
    </row>
    <row r="62" spans="2:3" x14ac:dyDescent="0.25">
      <c r="B62" s="17" t="s">
        <v>88</v>
      </c>
      <c r="C62" s="18">
        <f>'[2]CREDITORS CONTROL'!E1342</f>
        <v>0</v>
      </c>
    </row>
    <row r="63" spans="2:3" x14ac:dyDescent="0.25">
      <c r="B63" s="17" t="s">
        <v>89</v>
      </c>
      <c r="C63" s="18">
        <f>'[2]CREDITORS CONTROL'!E1592</f>
        <v>-300</v>
      </c>
    </row>
    <row r="64" spans="2:3" x14ac:dyDescent="0.25">
      <c r="B64" s="17" t="s">
        <v>90</v>
      </c>
      <c r="C64" s="18">
        <f>'[2]CREDITORS CONTROL'!E1617</f>
        <v>-69265.53</v>
      </c>
    </row>
    <row r="65" spans="2:3" x14ac:dyDescent="0.25">
      <c r="B65" s="17" t="s">
        <v>91</v>
      </c>
      <c r="C65" s="18">
        <f>'[2]CREDITORS CONTROL'!E1675</f>
        <v>87.75</v>
      </c>
    </row>
    <row r="66" spans="2:3" x14ac:dyDescent="0.25">
      <c r="B66" s="17" t="s">
        <v>92</v>
      </c>
      <c r="C66" s="18">
        <f>'[2]CREDITORS CONTROL'!E1713</f>
        <v>-27935</v>
      </c>
    </row>
    <row r="67" spans="2:3" x14ac:dyDescent="0.25">
      <c r="B67" s="17" t="s">
        <v>93</v>
      </c>
      <c r="C67" s="18">
        <f>'[2]CREDITORS CONTROL'!E1774</f>
        <v>0</v>
      </c>
    </row>
    <row r="68" spans="2:3" x14ac:dyDescent="0.25">
      <c r="B68" s="17" t="s">
        <v>94</v>
      </c>
      <c r="C68" s="18">
        <f>'[2]CREDITORS CONTROL'!E1801</f>
        <v>0</v>
      </c>
    </row>
    <row r="69" spans="2:3" x14ac:dyDescent="0.25">
      <c r="B69" s="17" t="s">
        <v>95</v>
      </c>
      <c r="C69" s="18">
        <f>'[2]CREDITORS CONTROL'!E1830</f>
        <v>0</v>
      </c>
    </row>
    <row r="70" spans="2:3" x14ac:dyDescent="0.25">
      <c r="B70" s="17" t="s">
        <v>96</v>
      </c>
      <c r="C70" s="18">
        <f>'[2]CREDITORS CONTROL'!E1865</f>
        <v>-15689.560000000027</v>
      </c>
    </row>
    <row r="71" spans="2:3" x14ac:dyDescent="0.25">
      <c r="B71" s="17" t="s">
        <v>97</v>
      </c>
      <c r="C71" s="18">
        <f>'[2]CREDITORS CONTROL'!E1903</f>
        <v>0</v>
      </c>
    </row>
    <row r="72" spans="2:3" x14ac:dyDescent="0.25">
      <c r="B72" s="17" t="s">
        <v>98</v>
      </c>
      <c r="C72" s="18">
        <f>'[2]CREDITORS CONTROL'!E1922</f>
        <v>0</v>
      </c>
    </row>
    <row r="73" spans="2:3" x14ac:dyDescent="0.25">
      <c r="B73" s="17" t="s">
        <v>99</v>
      </c>
      <c r="C73" s="18">
        <f>'[2]CREDITORS CONTROL'!E1951</f>
        <v>-5850</v>
      </c>
    </row>
    <row r="74" spans="2:3" x14ac:dyDescent="0.25">
      <c r="B74" s="17" t="s">
        <v>100</v>
      </c>
      <c r="C74" s="18">
        <f>'[2]CREDITORS CONTROL'!E1965</f>
        <v>-3775</v>
      </c>
    </row>
    <row r="75" spans="2:3" x14ac:dyDescent="0.25">
      <c r="B75" s="17" t="s">
        <v>101</v>
      </c>
      <c r="C75" s="18">
        <f>'[2]CREDITORS CONTROL'!E1980</f>
        <v>-21000</v>
      </c>
    </row>
    <row r="76" spans="2:3" x14ac:dyDescent="0.25">
      <c r="B76" s="17" t="s">
        <v>102</v>
      </c>
      <c r="C76" s="18">
        <f>'[2]CREDITORS CONTROL'!E2012</f>
        <v>0</v>
      </c>
    </row>
    <row r="77" spans="2:3" x14ac:dyDescent="0.25">
      <c r="B77" s="17" t="s">
        <v>103</v>
      </c>
      <c r="C77" s="18">
        <f>'[2]CREDITORS CONTROL'!E2026</f>
        <v>0</v>
      </c>
    </row>
    <row r="78" spans="2:3" x14ac:dyDescent="0.25">
      <c r="B78" s="17" t="s">
        <v>104</v>
      </c>
      <c r="C78" s="18">
        <f>'[2]CREDITORS CONTROL'!E2043</f>
        <v>-4924.5999999999985</v>
      </c>
    </row>
    <row r="79" spans="2:3" x14ac:dyDescent="0.25">
      <c r="B79" s="17" t="s">
        <v>105</v>
      </c>
      <c r="C79" s="18">
        <f>'[2]CREDITORS CONTROL'!E2069</f>
        <v>-1783.3970000000045</v>
      </c>
    </row>
    <row r="80" spans="2:3" x14ac:dyDescent="0.25">
      <c r="B80" s="17" t="s">
        <v>106</v>
      </c>
      <c r="C80" s="18">
        <f>'[2]CREDITORS CONTROL'!E2096</f>
        <v>0</v>
      </c>
    </row>
    <row r="81" spans="2:3" x14ac:dyDescent="0.25">
      <c r="B81" s="17" t="s">
        <v>107</v>
      </c>
      <c r="C81" s="18">
        <f>'[2]CREDITORS CONTROL'!E2111</f>
        <v>0</v>
      </c>
    </row>
    <row r="82" spans="2:3" x14ac:dyDescent="0.25">
      <c r="B82" s="17" t="s">
        <v>108</v>
      </c>
      <c r="C82" s="18">
        <f>'[2]CREDITORS CONTROL'!E2125</f>
        <v>0</v>
      </c>
    </row>
    <row r="83" spans="2:3" x14ac:dyDescent="0.25">
      <c r="B83" s="17" t="s">
        <v>109</v>
      </c>
      <c r="C83" s="18">
        <f>'[2]CREDITORS CONTROL'!E2147</f>
        <v>-1178</v>
      </c>
    </row>
    <row r="84" spans="2:3" x14ac:dyDescent="0.25">
      <c r="B84" s="17" t="s">
        <v>110</v>
      </c>
      <c r="C84" s="18">
        <f>'[2]CREDITORS CONTROL'!E2167</f>
        <v>0</v>
      </c>
    </row>
    <row r="85" spans="2:3" x14ac:dyDescent="0.25">
      <c r="B85" s="17" t="s">
        <v>111</v>
      </c>
      <c r="C85" s="18">
        <f>'[2]CREDITORS CONTROL'!E2185</f>
        <v>0</v>
      </c>
    </row>
    <row r="86" spans="2:3" x14ac:dyDescent="0.25">
      <c r="B86" s="17" t="s">
        <v>112</v>
      </c>
      <c r="C86" s="18">
        <f>'[2]CREDITORS CONTROL'!E2200</f>
        <v>-23870</v>
      </c>
    </row>
    <row r="87" spans="2:3" x14ac:dyDescent="0.25">
      <c r="B87" s="20" t="s">
        <v>113</v>
      </c>
      <c r="C87" s="18">
        <f>'[2]CREDITORS CONTROL'!E2214</f>
        <v>-2250</v>
      </c>
    </row>
    <row r="88" spans="2:3" x14ac:dyDescent="0.25">
      <c r="B88" s="20" t="s">
        <v>114</v>
      </c>
      <c r="C88" s="18">
        <f>'[2]CREDITORS CONTROL'!E2229</f>
        <v>-3149.9999999999982</v>
      </c>
    </row>
    <row r="89" spans="2:3" x14ac:dyDescent="0.25">
      <c r="B89" s="20" t="s">
        <v>115</v>
      </c>
      <c r="C89" s="18">
        <f>'[2]CREDITORS CONTROL'!E2251</f>
        <v>0</v>
      </c>
    </row>
    <row r="90" spans="2:3" x14ac:dyDescent="0.25">
      <c r="B90" s="20" t="s">
        <v>116</v>
      </c>
      <c r="C90" s="18">
        <f>'[2]CREDITORS CONTROL'!E2266</f>
        <v>-2600</v>
      </c>
    </row>
    <row r="91" spans="2:3" x14ac:dyDescent="0.25">
      <c r="B91" s="20" t="s">
        <v>117</v>
      </c>
      <c r="C91" s="18">
        <f>'[2]CREDITORS CONTROL'!E2281</f>
        <v>-3900</v>
      </c>
    </row>
    <row r="92" spans="2:3" x14ac:dyDescent="0.25">
      <c r="B92" s="20" t="s">
        <v>118</v>
      </c>
      <c r="C92" s="18">
        <f>'[2]CREDITORS CONTROL'!E2295</f>
        <v>-1600</v>
      </c>
    </row>
    <row r="93" spans="2:3" x14ac:dyDescent="0.25">
      <c r="B93" s="20" t="s">
        <v>119</v>
      </c>
      <c r="C93" s="18">
        <f>'[2]CREDITORS CONTROL'!E2315</f>
        <v>-20067.530000000006</v>
      </c>
    </row>
    <row r="94" spans="2:3" x14ac:dyDescent="0.25">
      <c r="B94" s="20" t="s">
        <v>120</v>
      </c>
      <c r="C94" s="18">
        <f>'[2]CREDITORS CONTROL'!E2330</f>
        <v>0</v>
      </c>
    </row>
    <row r="95" spans="2:3" x14ac:dyDescent="0.25">
      <c r="B95" s="20" t="s">
        <v>121</v>
      </c>
      <c r="C95" s="18">
        <f>'[2]CREDITORS CONTROL'!E2345</f>
        <v>-7610.82</v>
      </c>
    </row>
    <row r="96" spans="2:3" x14ac:dyDescent="0.25">
      <c r="B96" s="20" t="s">
        <v>122</v>
      </c>
      <c r="C96" s="18">
        <f>'[2]CREDITORS CONTROL'!E2359</f>
        <v>0</v>
      </c>
    </row>
    <row r="97" spans="2:3" x14ac:dyDescent="0.25">
      <c r="B97" s="20" t="s">
        <v>123</v>
      </c>
      <c r="C97" s="18">
        <f>'[2]CREDITORS CONTROL'!E2373</f>
        <v>0</v>
      </c>
    </row>
    <row r="98" spans="2:3" x14ac:dyDescent="0.25">
      <c r="B98" s="17" t="s">
        <v>124</v>
      </c>
      <c r="C98" s="18">
        <f>'[2]CREDITORS CONTROL'!E1277</f>
        <v>-3853.8000000000029</v>
      </c>
    </row>
    <row r="99" spans="2:3" x14ac:dyDescent="0.25">
      <c r="B99" s="17" t="s">
        <v>125</v>
      </c>
      <c r="C99" s="18">
        <f>-'[2]CREDITORS CONTROL'!E2399</f>
        <v>-41216.93</v>
      </c>
    </row>
    <row r="100" spans="2:3" x14ac:dyDescent="0.25">
      <c r="C100" s="21"/>
    </row>
    <row r="101" spans="2:3" x14ac:dyDescent="0.25">
      <c r="C101" s="21"/>
    </row>
    <row r="102" spans="2:3" ht="15.75" thickBot="1" x14ac:dyDescent="0.3">
      <c r="C102" s="21"/>
    </row>
    <row r="103" spans="2:3" ht="15.75" thickBot="1" x14ac:dyDescent="0.3">
      <c r="B103" s="22" t="s">
        <v>126</v>
      </c>
      <c r="C103" s="23">
        <f>SUM(C3:C99)</f>
        <v>-600658.86699999997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DEBTOR BALANCES</vt:lpstr>
      <vt:lpstr>CREDITOR BALANCES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2026-01-06T20:11:08Z</dcterms:modified>
</cp:coreProperties>
</file>